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40" yWindow="760" windowWidth="23700" windowHeight="17720" tabRatio="600" firstSheet="0" activeTab="0" autoFilterDateGrouping="1"/>
  </bookViews>
  <sheets>
    <sheet name="Mar 26" sheetId="1" state="visible" r:id="rId1"/>
    <sheet name="Feb 26" sheetId="2" state="visible" r:id="rId2"/>
    <sheet name="Selling Individual Cards" sheetId="3" state="visible" r:id="rId3"/>
    <sheet name="Apr 202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£&quot;#,##0_);[Red]\(&quot;£&quot;#,##0\)"/>
    <numFmt numFmtId="165" formatCode="[$$-C09]#,##0.00"/>
  </numFmts>
  <fonts count="11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rgb="FF1F1F1F"/>
      <sz val="12"/>
    </font>
    <font>
      <name val="Arial"/>
      <family val="2"/>
      <b val="1"/>
      <color rgb="FF1F1F1F"/>
      <sz val="12"/>
    </font>
    <font>
      <name val="Calibri"/>
      <family val="2"/>
      <strike val="1"/>
      <color theme="1"/>
      <sz val="12"/>
      <scheme val="minor"/>
    </font>
    <font>
      <name val="Arial"/>
      <family val="2"/>
      <b val="1"/>
      <color rgb="FF1F1F1F"/>
      <sz val="14"/>
    </font>
    <font>
      <name val="Arial"/>
      <family val="2"/>
      <color rgb="FF1F1F1F"/>
      <sz val="14"/>
    </font>
    <font>
      <name val="Arial"/>
      <family val="2"/>
      <b val="1"/>
      <color theme="0"/>
      <sz val="16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</fonts>
  <fills count="8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2">
    <xf numFmtId="0" fontId="1" fillId="0" borderId="0"/>
    <xf numFmtId="9" fontId="1" fillId="0" borderId="0"/>
  </cellStyleXfs>
  <cellXfs count="104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164" fontId="4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0" fontId="3" fillId="0" borderId="2" pivotButton="0" quotePrefix="0" xfId="0"/>
    <xf numFmtId="3" fontId="0" fillId="0" borderId="0" pivotButton="0" quotePrefix="0" xfId="0"/>
    <xf numFmtId="2" fontId="0" fillId="0" borderId="0" pivotButton="0" quotePrefix="0" xfId="0"/>
    <xf numFmtId="2" fontId="4" fillId="0" borderId="0" pivotButton="0" quotePrefix="0" xfId="0"/>
    <xf numFmtId="0" fontId="5" fillId="0" borderId="0" pivotButton="0" quotePrefix="0" xfId="0"/>
    <xf numFmtId="2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0" fontId="2" fillId="0" borderId="0" pivotButton="0" quotePrefix="0" xfId="0"/>
    <xf numFmtId="10" fontId="4" fillId="0" borderId="0" pivotButton="0" quotePrefix="0" xfId="1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2" fontId="8" fillId="0" borderId="0" pivotButton="0" quotePrefix="0" xfId="0"/>
    <xf numFmtId="10" fontId="8" fillId="0" borderId="0" pivotButton="0" quotePrefix="0" xfId="0"/>
    <xf numFmtId="17" fontId="4" fillId="0" borderId="0" pivotButton="0" quotePrefix="0" xfId="0"/>
    <xf numFmtId="0" fontId="8" fillId="0" borderId="1" pivotButton="0" quotePrefix="0" xfId="0"/>
    <xf numFmtId="0" fontId="4" fillId="3" borderId="0" pivotButton="0" quotePrefix="0" xfId="0"/>
    <xf numFmtId="17" fontId="4" fillId="3" borderId="0" pivotButton="0" quotePrefix="0" xfId="0"/>
    <xf numFmtId="0" fontId="7" fillId="3" borderId="0" pivotButton="0" quotePrefix="0" xfId="0"/>
    <xf numFmtId="164" fontId="3" fillId="3" borderId="0" pivotButton="0" quotePrefix="0" xfId="0"/>
    <xf numFmtId="2" fontId="3" fillId="3" borderId="0" pivotButton="0" quotePrefix="0" xfId="0"/>
    <xf numFmtId="10" fontId="4" fillId="3" borderId="0" pivotButton="0" quotePrefix="0" xfId="1"/>
    <xf numFmtId="0" fontId="3" fillId="3" borderId="0" pivotButton="0" quotePrefix="0" xfId="0"/>
    <xf numFmtId="2" fontId="4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17" fontId="4" fillId="4" borderId="0" pivotButton="0" quotePrefix="0" xfId="0"/>
    <xf numFmtId="0" fontId="7" fillId="4" borderId="0" pivotButton="0" quotePrefix="0" xfId="0"/>
    <xf numFmtId="164" fontId="3" fillId="4" borderId="0" pivotButton="0" quotePrefix="0" xfId="0"/>
    <xf numFmtId="2" fontId="3" fillId="4" borderId="0" pivotButton="0" quotePrefix="0" xfId="0"/>
    <xf numFmtId="10" fontId="4" fillId="4" borderId="0" pivotButton="0" quotePrefix="0" xfId="1"/>
    <xf numFmtId="0" fontId="3" fillId="4" borderId="0" pivotButton="0" quotePrefix="0" xfId="0"/>
    <xf numFmtId="2" fontId="4" fillId="4" borderId="0" pivotButton="0" quotePrefix="0" xfId="0"/>
    <xf numFmtId="0" fontId="0" fillId="4" borderId="0" pivotButton="0" quotePrefix="0" xfId="0"/>
    <xf numFmtId="0" fontId="4" fillId="5" borderId="0" pivotButton="0" quotePrefix="0" xfId="0"/>
    <xf numFmtId="17" fontId="4" fillId="5" borderId="0" pivotButton="0" quotePrefix="0" xfId="0"/>
    <xf numFmtId="0" fontId="7" fillId="5" borderId="0" pivotButton="0" quotePrefix="0" xfId="0"/>
    <xf numFmtId="164" fontId="3" fillId="5" borderId="0" pivotButton="0" quotePrefix="0" xfId="0"/>
    <xf numFmtId="2" fontId="3" fillId="5" borderId="0" pivotButton="0" quotePrefix="0" xfId="0"/>
    <xf numFmtId="10" fontId="4" fillId="5" borderId="0" pivotButton="0" quotePrefix="0" xfId="1"/>
    <xf numFmtId="0" fontId="3" fillId="5" borderId="0" pivotButton="0" quotePrefix="0" xfId="0"/>
    <xf numFmtId="2" fontId="4" fillId="5" borderId="0" pivotButton="0" quotePrefix="0" xfId="0"/>
    <xf numFmtId="0" fontId="0" fillId="5" borderId="0" pivotButton="0" quotePrefix="0" xfId="0"/>
    <xf numFmtId="0" fontId="4" fillId="6" borderId="0" pivotButton="0" quotePrefix="0" xfId="0"/>
    <xf numFmtId="17" fontId="4" fillId="6" borderId="0" pivotButton="0" quotePrefix="0" xfId="0"/>
    <xf numFmtId="0" fontId="7" fillId="6" borderId="0" pivotButton="0" quotePrefix="0" xfId="0"/>
    <xf numFmtId="164" fontId="3" fillId="6" borderId="0" pivotButton="0" quotePrefix="0" xfId="0"/>
    <xf numFmtId="2" fontId="3" fillId="6" borderId="0" pivotButton="0" quotePrefix="0" xfId="0"/>
    <xf numFmtId="10" fontId="4" fillId="6" borderId="0" pivotButton="0" quotePrefix="0" xfId="1"/>
    <xf numFmtId="0" fontId="3" fillId="6" borderId="0" pivotButton="0" quotePrefix="0" xfId="0"/>
    <xf numFmtId="2" fontId="4" fillId="6" borderId="0" pivotButton="0" quotePrefix="0" xfId="0"/>
    <xf numFmtId="0" fontId="0" fillId="6" borderId="0" pivotButton="0" quotePrefix="0" xfId="0"/>
    <xf numFmtId="0" fontId="7" fillId="6" borderId="0" applyAlignment="1" pivotButton="0" quotePrefix="0" xfId="0">
      <alignment horizontal="left"/>
    </xf>
    <xf numFmtId="0" fontId="3" fillId="0" borderId="1" pivotButton="0" quotePrefix="0" xfId="0"/>
    <xf numFmtId="0" fontId="8" fillId="2" borderId="0" pivotButton="0" quotePrefix="0" xfId="0"/>
    <xf numFmtId="0" fontId="3" fillId="3" borderId="2" pivotButton="0" quotePrefix="0" xfId="0"/>
    <xf numFmtId="165" fontId="8" fillId="0" borderId="0" pivotButton="0" quotePrefix="0" xfId="0"/>
    <xf numFmtId="165" fontId="3" fillId="0" borderId="0" pivotButton="0" quotePrefix="0" xfId="0"/>
    <xf numFmtId="165" fontId="4" fillId="0" borderId="0" pivotButton="0" quotePrefix="0" xfId="0"/>
    <xf numFmtId="165" fontId="3" fillId="3" borderId="0" pivotButton="0" quotePrefix="0" xfId="0"/>
    <xf numFmtId="165" fontId="3" fillId="4" borderId="0" pivotButton="0" quotePrefix="0" xfId="0"/>
    <xf numFmtId="165" fontId="3" fillId="6" borderId="0" pivotButton="0" quotePrefix="0" xfId="0"/>
    <xf numFmtId="165" fontId="0" fillId="0" borderId="0" pivotButton="0" quotePrefix="0" xfId="0"/>
    <xf numFmtId="0" fontId="4" fillId="7" borderId="0" pivotButton="0" quotePrefix="0" xfId="0"/>
    <xf numFmtId="17" fontId="4" fillId="7" borderId="0" pivotButton="0" quotePrefix="0" xfId="0"/>
    <xf numFmtId="0" fontId="7" fillId="7" borderId="0" applyAlignment="1" pivotButton="0" quotePrefix="0" xfId="0">
      <alignment horizontal="left"/>
    </xf>
    <xf numFmtId="164" fontId="3" fillId="7" borderId="0" pivotButton="0" quotePrefix="0" xfId="0"/>
    <xf numFmtId="2" fontId="3" fillId="7" borderId="0" pivotButton="0" quotePrefix="0" xfId="0"/>
    <xf numFmtId="10" fontId="4" fillId="7" borderId="0" pivotButton="0" quotePrefix="0" xfId="1"/>
    <xf numFmtId="0" fontId="3" fillId="7" borderId="0" pivotButton="0" quotePrefix="0" xfId="0"/>
    <xf numFmtId="2" fontId="4" fillId="7" borderId="0" pivotButton="0" quotePrefix="0" xfId="0"/>
    <xf numFmtId="0" fontId="0" fillId="7" borderId="0" pivotButton="0" quotePrefix="0" xfId="0"/>
    <xf numFmtId="165" fontId="3" fillId="7" borderId="0" pivotButton="0" quotePrefix="0" xfId="0"/>
    <xf numFmtId="0" fontId="7" fillId="7" borderId="0" pivotButton="0" quotePrefix="0" xfId="0"/>
    <xf numFmtId="165" fontId="3" fillId="5" borderId="0" pivotButton="0" quotePrefix="0" xfId="0"/>
    <xf numFmtId="0" fontId="3" fillId="0" borderId="0" pivotButton="0" quotePrefix="0" xfId="0"/>
    <xf numFmtId="0" fontId="3" fillId="4" borderId="2" pivotButton="0" quotePrefix="0" xfId="0"/>
    <xf numFmtId="0" fontId="3" fillId="3" borderId="0" pivotButton="0" quotePrefix="0" xfId="0"/>
    <xf numFmtId="0" fontId="3" fillId="7" borderId="1" pivotButton="0" quotePrefix="0" xfId="0"/>
    <xf numFmtId="165" fontId="0" fillId="0" borderId="0" pivotButton="0" quotePrefix="0" xfId="0"/>
    <xf numFmtId="165" fontId="8" fillId="0" borderId="0" pivotButton="0" quotePrefix="0" xfId="0"/>
    <xf numFmtId="165" fontId="3" fillId="7" borderId="0" pivotButton="0" quotePrefix="0" xfId="0"/>
    <xf numFmtId="165" fontId="3" fillId="0" borderId="0" pivotButton="0" quotePrefix="0" xfId="0"/>
    <xf numFmtId="165" fontId="4" fillId="0" borderId="0" pivotButton="0" quotePrefix="0" xfId="0"/>
    <xf numFmtId="165" fontId="3" fillId="4" borderId="0" pivotButton="0" quotePrefix="0" xfId="0"/>
    <xf numFmtId="165" fontId="3" fillId="6" borderId="0" pivotButton="0" quotePrefix="0" xfId="0"/>
    <xf numFmtId="165" fontId="3" fillId="5" borderId="0" pivotButton="0" quotePrefix="0" xfId="0"/>
    <xf numFmtId="165" fontId="3" fillId="3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3" fillId="3" borderId="0" pivotButton="0" quotePrefix="0" xfId="0"/>
    <xf numFmtId="164" fontId="3" fillId="4" borderId="0" pivotButton="0" quotePrefix="0" xfId="0"/>
    <xf numFmtId="164" fontId="3" fillId="6" borderId="0" pivotButton="0" quotePrefix="0" xfId="0"/>
    <xf numFmtId="164" fontId="3" fillId="7" borderId="0" pivotButton="0" quotePrefix="0" xfId="0"/>
    <xf numFmtId="164" fontId="3" fillId="5" borderId="0" pivotButton="0" quotePrefix="0" xfId="0"/>
  </cellXfs>
  <cellStyles count="2">
    <cellStyle name="Normal" xfId="0" builtinId="0"/>
    <cellStyle name="Per cent" xfId="1" builtinId="5"/>
  </cellStyles>
  <dxfs count="5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4" formatCode="0.00%"/>
    </dxf>
    <dxf>
      <numFmt numFmtId="3" formatCode="#,##0"/>
    </dxf>
    <dxf>
      <numFmt numFmtId="3" formatCode="#,##0"/>
    </dxf>
    <dxf>
      <numFmt numFmtId="2" formatCode="0.00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  <numFmt numFmtId="0" formatCode="General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  <numFmt numFmtId="2" formatCode="0.00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  <numFmt numFmtId="14" formatCode="0.00%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  <numFmt numFmtId="2" formatCode="0.00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  <numFmt numFmtId="10" formatCode="&quot;£&quot;#,##0_);[Red]\(&quot;£&quot;#,##0\)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  <numFmt numFmtId="10" formatCode="&quot;£&quot;#,##0_);[Red]\(&quot;£&quot;#,##0\)"/>
    </dxf>
    <dxf>
      <font>
        <name val="Arial"/>
        <family val="2"/>
        <strike val="0"/>
        <outline val="0"/>
        <shadow val="0"/>
        <condense val="0"/>
        <color rgb="FF1F1F1F"/>
        <extend val="0"/>
        <sz val="14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6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  <numFmt numFmtId="0" formatCode="General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  <numFmt numFmtId="2" formatCode="0.00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  <numFmt numFmtId="14" formatCode="0.00%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  <numFmt numFmtId="2" formatCode="0.00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  <numFmt numFmtId="164" formatCode="[$$-C09]#,##0.00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  <numFmt numFmtId="164" formatCode="[$$-C09]#,##0.00"/>
    </dxf>
    <dxf>
      <font>
        <name val="Arial"/>
        <family val="2"/>
        <strike val="0"/>
        <outline val="0"/>
        <shadow val="0"/>
        <condense val="0"/>
        <color rgb="FF1F1F1F"/>
        <extend val="0"/>
        <sz val="14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6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L1" authorId="0" shapeId="0">
      <text>
        <t>Scarcity:
5 = Out of Print (OOP); 1 = Heavily Printed/Restocking</t>
      </text>
    </comment>
    <comment ref="M1" authorId="0" shapeId="0">
      <text>
        <t>5 = Booster Box (Fast Sell);
2=Booster Bundle
1 = Collection Box (Slow Sell)</t>
      </text>
    </comment>
    <comment ref="N1" authorId="0" shapeId="0">
      <text>
        <t>5 = Charizard/Eevee/Umbreon; 1 = No Big "Chases"</t>
      </text>
    </comment>
    <comment ref="O1" authorId="0" shapeId="0">
      <text>
        <t>5 = Many Illustration Rares; 1 = Only 1-2 good cards</t>
      </text>
    </comment>
  </commentList>
</comments>
</file>

<file path=xl/comments/comment2.xml><?xml version="1.0" encoding="utf-8"?>
<comments xmlns="http://schemas.openxmlformats.org/spreadsheetml/2006/main">
  <authors>
    <author>Microsoft Office User</author>
  </authors>
  <commentList>
    <comment ref="L1" authorId="0" shapeId="0">
      <text>
        <t>Scarcity:
5 = Out of Print (OOP); 1 = Heavily Printed/Restocking</t>
      </text>
    </comment>
    <comment ref="M1" authorId="0" shapeId="0">
      <text>
        <t>5 = Booster Box (Fast Sell);
2=Booster Bundle
1 = Collection Box (Slow Sell)</t>
      </text>
    </comment>
    <comment ref="N1" authorId="0" shapeId="0">
      <text>
        <t>5 = Charizard/Eevee/Umbreon; 1 = No Big "Chases"</t>
      </text>
    </comment>
    <comment ref="O1" authorId="0" shapeId="0">
      <text>
        <t>5 = Many Illustration Rares; 1 = Only 1-2 good cards</t>
      </text>
    </comment>
  </commentList>
</comments>
</file>

<file path=xl/tables/table1.xml><?xml version="1.0" encoding="utf-8"?>
<table xmlns="http://schemas.openxmlformats.org/spreadsheetml/2006/main" id="1" name="Table14" displayName="Table14" ref="A1:O44" headerRowCount="1" totalsRowShown="0" headerRowDxfId="53" dataDxfId="52">
  <autoFilter ref="A1:O44"/>
  <sortState ref="A2:O44">
    <sortCondition ref="G1:G44"/>
  </sortState>
  <tableColumns count="15">
    <tableColumn id="1" name="Era" dataDxfId="51"/>
    <tableColumn id="11" name="Date Released" dataDxfId="50"/>
    <tableColumn id="2" name="Set Name" dataDxfId="49"/>
    <tableColumn id="3" name="BB Price - Or 6 Booster Equivalent?" dataDxfId="48"/>
    <tableColumn id="4" name="Set Value (GBP)" dataDxfId="47"/>
    <tableColumn id="9" name="Top 3 Chase Cards" dataDxfId="46"/>
    <tableColumn id="5" name="Box % of Set (Sort By Ascending)" dataDxfId="45" dataCellStyle="Per cent">
      <calculatedColumnFormula>Table14[[#This Row],[BB Price - Or 6 Booster Equivalent?]]/E2</calculatedColumnFormula>
    </tableColumn>
    <tableColumn id="6" name="Investor Rating" dataDxfId="44"/>
    <tableColumn id="7" name="Chase Card % (Risk)" dataDxfId="43">
      <calculatedColumnFormula>Table14[[#This Row],[Top 3 Chase Cards]]/Table14[[#This Row],[Set Value (GBP)]]</calculatedColumnFormula>
    </tableColumn>
    <tableColumn id="8" name="Print Status " dataDxfId="42"/>
    <tableColumn id="12" name="Decision Matrix" dataDxfId="41">
      <calculatedColumnFormula>SUM(Table14[[#This Row],[Scarcity (Print Status)]:[Set Depth]])</calculatedColumnFormula>
    </tableColumn>
    <tableColumn id="13" name="Scarcity (Print Status)" dataDxfId="40"/>
    <tableColumn id="15" name="Format Liquidity" dataDxfId="39"/>
    <tableColumn id="16" name="Mascot Power" dataDxfId="38"/>
    <tableColumn id="17" name="Set Depth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O42" headerRowCount="1" totalsRowShown="0" headerRowDxfId="36" dataDxfId="35">
  <autoFilter ref="A1:O42"/>
  <sortState ref="A2:O42">
    <sortCondition ref="B1:B42"/>
  </sortState>
  <tableColumns count="15">
    <tableColumn id="1" name="Era" dataDxfId="34"/>
    <tableColumn id="11" name="Date Released" dataDxfId="33"/>
    <tableColumn id="2" name="Set Name" dataDxfId="32"/>
    <tableColumn id="3" name="BB Price - Or 4 Booster Equivalent?" dataDxfId="31"/>
    <tableColumn id="4" name="Set Value (GBP)" dataDxfId="30"/>
    <tableColumn id="9" name="Top 3 Chase Cards" dataDxfId="29"/>
    <tableColumn id="5" name="Box % of Set (Sort By Ascending)" dataDxfId="28" dataCellStyle="Per cent">
      <calculatedColumnFormula>Table1[[#This Row],[BB Price - Or 4 Booster Equivalent?]]/E2</calculatedColumnFormula>
    </tableColumn>
    <tableColumn id="6" name="Investor Rating" dataDxfId="27"/>
    <tableColumn id="7" name="Chase Card % (Risk)" dataDxfId="26">
      <calculatedColumnFormula>Table1[[#This Row],[Top 3 Chase Cards]]/Table1[[#This Row],[Set Value (GBP)]]</calculatedColumnFormula>
    </tableColumn>
    <tableColumn id="8" name="Print Status " dataDxfId="25"/>
    <tableColumn id="12" name="Decision Matrix" dataDxfId="24">
      <calculatedColumnFormula>SUM(Table1[[#This Row],[Scarcity (Print Status)]:[Set Depth]])</calculatedColumnFormula>
    </tableColumn>
    <tableColumn id="13" name="Scarcity (Print Status)" dataDxfId="23"/>
    <tableColumn id="15" name="Format Liquidity" dataDxfId="22"/>
    <tableColumn id="16" name="Mascot Power" dataDxfId="21"/>
    <tableColumn id="17" name="Set Depth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1:H16" headerRowCount="1" totalsRowShown="0">
  <autoFilter ref="A1:H16"/>
  <sortState ref="A2:H14">
    <sortCondition descending="1" ref="G1:G16"/>
  </sortState>
  <tableColumns count="8">
    <tableColumn id="1" name="Card Name"/>
    <tableColumn id="2" name="Raw Price "/>
    <tableColumn id="3" name="PSA 10 Price"/>
    <tableColumn id="4" name="Price Increase" dataDxfId="19">
      <calculatedColumnFormula>C2/B2</calculatedColumnFormula>
    </tableColumn>
    <tableColumn id="5" name="Total Graded Copies" dataDxfId="18"/>
    <tableColumn id="6" name="Total 10 Copies" dataDxfId="17"/>
    <tableColumn id="7" name="10-Rate (Pop %)" dataDxfId="16">
      <calculatedColumnFormula>F2/E2</calculatedColumnFormula>
    </tableColumn>
    <tableColumn id="8" name="Mascot? (Charizard, Pikachu, Umbreon, Gengar, Rayquaza, Special Illustration Rare (SIR) Trainers (like Lillie or Dawn), Competitive play card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tabSelected="1" zoomScale="99" workbookViewId="0">
      <selection activeCell="D26" sqref="D26"/>
    </sheetView>
  </sheetViews>
  <sheetFormatPr baseColWidth="10" defaultRowHeight="16"/>
  <cols>
    <col width="9.1640625" customWidth="1" min="1" max="2"/>
    <col width="20.33203125" bestFit="1" customWidth="1" min="3" max="3"/>
    <col width="21.83203125" customWidth="1" style="88" min="4" max="4"/>
    <col width="17.5" customWidth="1" style="88" min="5" max="5"/>
    <col width="17.5" customWidth="1" style="9" min="6" max="6"/>
    <col width="47.5" bestFit="1" customWidth="1" style="15" min="7" max="7"/>
    <col width="16.83203125" customWidth="1" min="8" max="8"/>
    <col width="18.5" customWidth="1" style="17" min="9" max="9"/>
    <col width="22.6640625" bestFit="1" customWidth="1" min="10" max="10"/>
    <col width="10.83203125" customWidth="1" style="17" min="11" max="11"/>
    <col width="13.6640625" customWidth="1" min="12" max="12"/>
    <col width="25" bestFit="1" customWidth="1" min="13" max="13"/>
    <col width="22" bestFit="1" customWidth="1" min="14" max="14"/>
    <col width="16.5" bestFit="1" customWidth="1" min="15" max="15"/>
  </cols>
  <sheetData>
    <row r="1" ht="20" customHeight="1">
      <c r="A1" s="20" t="inlineStr">
        <is>
          <t>Era</t>
        </is>
      </c>
      <c r="B1" s="20" t="inlineStr">
        <is>
          <t>Date Released</t>
        </is>
      </c>
      <c r="C1" s="20" t="inlineStr">
        <is>
          <t>Set Name</t>
        </is>
      </c>
      <c r="D1" s="89" t="inlineStr">
        <is>
          <t>BB Price - Or 6 Booster Equivalent?</t>
        </is>
      </c>
      <c r="E1" s="89" t="inlineStr">
        <is>
          <t>Set Value (GBP)</t>
        </is>
      </c>
      <c r="F1" s="21" t="inlineStr">
        <is>
          <t>Top 3 Chase Cards</t>
        </is>
      </c>
      <c r="G1" s="22" t="inlineStr">
        <is>
          <t>Box % of Set (Sort By Ascending)</t>
        </is>
      </c>
      <c r="H1" s="20" t="inlineStr">
        <is>
          <t>Investor Rating</t>
        </is>
      </c>
      <c r="I1" s="20" t="inlineStr">
        <is>
          <t>Chase Card % (Risk)</t>
        </is>
      </c>
      <c r="J1" s="20" t="inlineStr">
        <is>
          <t xml:space="preserve">Print Status </t>
        </is>
      </c>
      <c r="K1" s="20" t="inlineStr">
        <is>
          <t>Decision Matrix</t>
        </is>
      </c>
      <c r="L1" s="20" t="inlineStr">
        <is>
          <t>Scarcity (Print Status)</t>
        </is>
      </c>
      <c r="M1" s="24" t="inlineStr">
        <is>
          <t>Format Liquidity</t>
        </is>
      </c>
      <c r="N1" s="20" t="inlineStr">
        <is>
          <t>Mascot Power</t>
        </is>
      </c>
      <c r="O1" s="24" t="inlineStr">
        <is>
          <t>Set Depth</t>
        </is>
      </c>
    </row>
    <row r="2" ht="20" customHeight="1">
      <c r="A2" s="72" t="inlineStr">
        <is>
          <t>S&amp;V</t>
        </is>
      </c>
      <c r="B2" s="73" t="n">
        <v>45658</v>
      </c>
      <c r="C2" s="82" t="inlineStr">
        <is>
          <t>Prismatic Evolutions</t>
        </is>
      </c>
      <c r="D2" s="90" t="n">
        <v>280</v>
      </c>
      <c r="E2" s="90" t="n">
        <v>4161</v>
      </c>
      <c r="F2" s="76" t="n">
        <v>1655</v>
      </c>
      <c r="G2" s="77">
        <f>Table14[[#This Row],[BB Price - Or 6 Booster Equivalent?]]/E2</f>
        <v/>
      </c>
      <c r="H2" s="78" t="n"/>
      <c r="I2" s="79">
        <f>Table14[[#This Row],[Top 3 Chase Cards]]/Table14[[#This Row],[Set Value (GBP)]]</f>
        <v/>
      </c>
      <c r="J2" s="78" t="n"/>
      <c r="K2" s="72">
        <f>SUM(Table14[[#This Row],[Scarcity (Print Status)]:[Set Depth]])</f>
        <v/>
      </c>
      <c r="L2" s="78" t="n">
        <v>2</v>
      </c>
      <c r="M2" s="78" t="n">
        <v>2</v>
      </c>
      <c r="N2" s="87" t="n">
        <v>5</v>
      </c>
      <c r="O2" s="78" t="n">
        <v>5</v>
      </c>
    </row>
    <row r="3" ht="18" customHeight="1">
      <c r="A3" s="1" t="inlineStr">
        <is>
          <t>MEGA</t>
        </is>
      </c>
      <c r="B3" s="23" t="n">
        <v>46023</v>
      </c>
      <c r="C3" s="19" t="inlineStr">
        <is>
          <t>Ascended Hereos</t>
        </is>
      </c>
      <c r="D3" s="91" t="n">
        <v>280</v>
      </c>
      <c r="E3" s="91" t="n">
        <v>2279</v>
      </c>
      <c r="F3" s="6" t="n">
        <v>1593</v>
      </c>
      <c r="G3" s="16">
        <f>Table14[[#This Row],[BB Price - Or 6 Booster Equivalent?]]/E3</f>
        <v/>
      </c>
      <c r="H3" s="84" t="n"/>
      <c r="I3" s="10">
        <f>Table14[[#This Row],[Top 3 Chase Cards]]/Table14[[#This Row],[Set Value (GBP)]]</f>
        <v/>
      </c>
      <c r="J3" s="7" t="n"/>
      <c r="K3" s="1">
        <f>SUM(Table14[[#This Row],[Scarcity (Print Status)]:[Set Depth]])</f>
        <v/>
      </c>
      <c r="L3" s="84" t="n">
        <v>3</v>
      </c>
      <c r="M3" s="84" t="n">
        <v>2</v>
      </c>
      <c r="N3" s="84" t="n">
        <v>5</v>
      </c>
      <c r="O3" s="84" t="n">
        <v>5</v>
      </c>
    </row>
    <row r="4" ht="18" customHeight="1">
      <c r="A4" s="1" t="inlineStr">
        <is>
          <t>S&amp;V</t>
        </is>
      </c>
      <c r="B4" s="23" t="n">
        <v>45839</v>
      </c>
      <c r="C4" s="19" t="inlineStr">
        <is>
          <t>Black Bolt</t>
        </is>
      </c>
      <c r="D4" s="91" t="n">
        <v>300</v>
      </c>
      <c r="E4" s="91" t="n">
        <v>1980</v>
      </c>
      <c r="F4" s="6" t="n">
        <v>843</v>
      </c>
      <c r="G4" s="16">
        <f>Table14[[#This Row],[BB Price - Or 6 Booster Equivalent?]]/E4</f>
        <v/>
      </c>
      <c r="H4" s="84" t="n"/>
      <c r="I4" s="10">
        <f>Table14[[#This Row],[Top 3 Chase Cards]]/Table14[[#This Row],[Set Value (GBP)]]</f>
        <v/>
      </c>
      <c r="J4" s="7" t="n"/>
      <c r="K4" s="1">
        <f>SUM(Table14[[#This Row],[Scarcity (Print Status)]:[Set Depth]])</f>
        <v/>
      </c>
      <c r="L4" s="84" t="n">
        <v>1</v>
      </c>
      <c r="M4" s="84" t="n"/>
      <c r="N4" s="84" t="n"/>
      <c r="O4" s="84" t="n"/>
    </row>
    <row r="5" ht="18" customFormat="1" customHeight="1" s="42">
      <c r="A5" s="1" t="inlineStr">
        <is>
          <t xml:space="preserve">S&amp;V </t>
        </is>
      </c>
      <c r="B5" s="23" t="n">
        <v>45839</v>
      </c>
      <c r="C5" s="19" t="inlineStr">
        <is>
          <t>White Flare</t>
        </is>
      </c>
      <c r="D5" s="91" t="n">
        <v>312</v>
      </c>
      <c r="E5" s="91" t="n">
        <v>1554</v>
      </c>
      <c r="F5" s="6" t="n">
        <v>568</v>
      </c>
      <c r="G5" s="16">
        <f>Table14[[#This Row],[BB Price - Or 6 Booster Equivalent?]]/E5</f>
        <v/>
      </c>
      <c r="H5" s="84" t="n"/>
      <c r="I5" s="10">
        <f>Table14[[#This Row],[Top 3 Chase Cards]]/Table14[[#This Row],[Set Value (GBP)]]</f>
        <v/>
      </c>
      <c r="J5" s="84" t="n"/>
      <c r="K5" s="1">
        <f>SUM(Table14[[#This Row],[Scarcity (Print Status)]:[Set Depth]])</f>
        <v/>
      </c>
      <c r="L5" s="84" t="n">
        <v>1</v>
      </c>
      <c r="M5" s="84" t="n"/>
      <c r="N5" s="84" t="n"/>
      <c r="O5" s="84" t="n"/>
    </row>
    <row r="6" ht="18" customHeight="1">
      <c r="A6" s="1" t="inlineStr">
        <is>
          <t>S&amp;V</t>
        </is>
      </c>
      <c r="B6" s="23" t="n">
        <v>45901</v>
      </c>
      <c r="C6" s="18" t="inlineStr">
        <is>
          <t>Mega Evolution (Enhanced)</t>
        </is>
      </c>
      <c r="D6" s="92" t="n">
        <v>270</v>
      </c>
      <c r="E6" s="92" t="n">
        <v>1325</v>
      </c>
      <c r="F6" s="10" t="n">
        <v>618</v>
      </c>
      <c r="G6" s="16">
        <f>Table14[[#This Row],[BB Price - Or 6 Booster Equivalent?]]/E6</f>
        <v/>
      </c>
      <c r="H6" s="1" t="inlineStr">
        <is>
          <t>STRONG BUY (Deep Value)</t>
        </is>
      </c>
      <c r="I6" s="10">
        <f>Table14[[#This Row],[Top 3 Chase Cards]]/Table14[[#This Row],[Set Value (GBP)]]</f>
        <v/>
      </c>
      <c r="J6" s="84" t="n"/>
      <c r="K6" s="1">
        <f>SUM(Table14[[#This Row],[Scarcity (Print Status)]:[Set Depth]])</f>
        <v/>
      </c>
      <c r="L6" s="84" t="n">
        <v>1</v>
      </c>
      <c r="M6" s="84" t="n"/>
      <c r="N6" s="63" t="n"/>
      <c r="O6" s="84" t="n"/>
    </row>
    <row r="7" ht="18" customHeight="1">
      <c r="A7" s="34" t="inlineStr">
        <is>
          <t>SWSH</t>
        </is>
      </c>
      <c r="B7" s="35" t="n">
        <v>44866</v>
      </c>
      <c r="C7" s="36" t="inlineStr">
        <is>
          <t>Silver Tempest</t>
        </is>
      </c>
      <c r="D7" s="93" t="n">
        <v>260</v>
      </c>
      <c r="E7" s="93" t="n">
        <v>1030</v>
      </c>
      <c r="F7" s="38" t="n">
        <v>481</v>
      </c>
      <c r="G7" s="39">
        <f>Table14[[#This Row],[BB Price - Or 6 Booster Equivalent?]]/E7</f>
        <v/>
      </c>
      <c r="H7" s="40" t="n"/>
      <c r="I7" s="41">
        <f>Table14[[#This Row],[Top 3 Chase Cards]]/Table14[[#This Row],[Set Value (GBP)]]</f>
        <v/>
      </c>
      <c r="J7" s="40" t="n"/>
      <c r="K7" s="34">
        <f>SUM(Table14[[#This Row],[Scarcity (Print Status)]:[Set Depth]])</f>
        <v/>
      </c>
      <c r="L7" s="40" t="n"/>
      <c r="M7" s="40" t="n"/>
      <c r="N7" s="40" t="n"/>
      <c r="O7" s="40" t="n"/>
    </row>
    <row r="8" ht="18" customHeight="1">
      <c r="A8" s="1" t="inlineStr">
        <is>
          <t>Mega</t>
        </is>
      </c>
      <c r="B8" s="23" t="n">
        <v>45962</v>
      </c>
      <c r="C8" s="19" t="inlineStr">
        <is>
          <t>Phantasmal Flames</t>
        </is>
      </c>
      <c r="D8" s="91" t="n">
        <v>327</v>
      </c>
      <c r="E8" s="91" t="n">
        <v>1264</v>
      </c>
      <c r="F8" s="6" t="n">
        <v>1077</v>
      </c>
      <c r="G8" s="16">
        <f>Table14[[#This Row],[BB Price - Or 6 Booster Equivalent?]]/E8</f>
        <v/>
      </c>
      <c r="H8" s="84" t="inlineStr">
        <is>
          <t>Speculative Play</t>
        </is>
      </c>
      <c r="I8" s="10">
        <f>Table14[[#This Row],[Top 3 Chase Cards]]/Table14[[#This Row],[Set Value (GBP)]]</f>
        <v/>
      </c>
      <c r="J8" s="84" t="n"/>
      <c r="K8" s="1">
        <f>SUM(Table14[[#This Row],[Scarcity (Print Status)]:[Set Depth]])</f>
        <v/>
      </c>
      <c r="L8" s="84" t="n">
        <v>1</v>
      </c>
      <c r="M8" s="84" t="n"/>
      <c r="N8" s="84" t="n"/>
      <c r="O8" s="84" t="n"/>
    </row>
    <row r="9" ht="18" customFormat="1" customHeight="1" s="80">
      <c r="A9" s="52" t="inlineStr">
        <is>
          <t>S&amp;V</t>
        </is>
      </c>
      <c r="B9" s="53" t="n">
        <v>45597</v>
      </c>
      <c r="C9" s="54" t="inlineStr">
        <is>
          <t>Surging Sparks</t>
        </is>
      </c>
      <c r="D9" s="94" t="n">
        <v>267</v>
      </c>
      <c r="E9" s="94" t="n">
        <v>1012</v>
      </c>
      <c r="F9" s="56" t="n">
        <v>509</v>
      </c>
      <c r="G9" s="57">
        <f>Table14[[#This Row],[BB Price - Or 6 Booster Equivalent?]]/E9</f>
        <v/>
      </c>
      <c r="H9" s="58" t="inlineStr">
        <is>
          <t>Buy on Dips</t>
        </is>
      </c>
      <c r="I9" s="59">
        <f>Table14[[#This Row],[Top 3 Chase Cards]]/Table14[[#This Row],[Set Value (GBP)]]</f>
        <v/>
      </c>
      <c r="J9" s="58" t="inlineStr">
        <is>
          <t>In Print</t>
        </is>
      </c>
      <c r="K9" s="52">
        <f>SUM(Table14[[#This Row],[Scarcity (Print Status)]:[Set Depth]])</f>
        <v/>
      </c>
      <c r="L9" s="58" t="n">
        <v>3</v>
      </c>
      <c r="M9" s="58" t="n"/>
      <c r="N9" s="58" t="n"/>
      <c r="O9" s="58" t="n"/>
    </row>
    <row r="10" ht="18" customFormat="1" customHeight="1" s="60">
      <c r="A10" s="34" t="inlineStr">
        <is>
          <t>S&amp;V</t>
        </is>
      </c>
      <c r="B10" s="35" t="n">
        <v>45231</v>
      </c>
      <c r="C10" s="36" t="inlineStr">
        <is>
          <t>Paradox Rift</t>
        </is>
      </c>
      <c r="D10" s="93" t="n">
        <v>250</v>
      </c>
      <c r="E10" s="93" t="n">
        <v>845</v>
      </c>
      <c r="F10" s="38" t="n">
        <v>148</v>
      </c>
      <c r="G10" s="39">
        <f>Table14[[#This Row],[BB Price - Or 6 Booster Equivalent?]]/E10</f>
        <v/>
      </c>
      <c r="H10" s="40" t="inlineStr">
        <is>
          <t>Value Sleeper</t>
        </is>
      </c>
      <c r="I10" s="41">
        <f>Table14[[#This Row],[Top 3 Chase Cards]]/Table14[[#This Row],[Set Value (GBP)]]</f>
        <v/>
      </c>
      <c r="J10" s="40" t="inlineStr">
        <is>
          <t>Printing Till Sprint 2026</t>
        </is>
      </c>
      <c r="K10" s="34">
        <f>SUM(Table14[[#This Row],[Scarcity (Print Status)]:[Set Depth]])</f>
        <v/>
      </c>
      <c r="L10" s="40" t="n">
        <v>4</v>
      </c>
      <c r="M10" s="40" t="n"/>
      <c r="N10" s="40" t="n"/>
      <c r="O10" s="40" t="n"/>
    </row>
    <row r="11" ht="18" customFormat="1" customHeight="1" s="42">
      <c r="A11" s="34" t="inlineStr">
        <is>
          <t>SWSH</t>
        </is>
      </c>
      <c r="B11" s="35" t="n">
        <v>44348</v>
      </c>
      <c r="C11" s="36" t="inlineStr">
        <is>
          <t>Chilling Reign</t>
        </is>
      </c>
      <c r="D11" s="93" t="n">
        <v>501</v>
      </c>
      <c r="E11" s="93" t="n">
        <v>1656</v>
      </c>
      <c r="F11" s="38" t="n">
        <v>641</v>
      </c>
      <c r="G11" s="39">
        <f>Table14[[#This Row],[BB Price - Or 6 Booster Equivalent?]]/E11</f>
        <v/>
      </c>
      <c r="H11" s="40" t="inlineStr">
        <is>
          <t>Fair Value</t>
        </is>
      </c>
      <c r="I11" s="41">
        <f>Table14[[#This Row],[Top 3 Chase Cards]]/Table14[[#This Row],[Set Value (GBP)]]</f>
        <v/>
      </c>
      <c r="J11" s="85" t="n"/>
      <c r="K11" s="34">
        <f>SUM(Table14[[#This Row],[Scarcity (Print Status)]:[Set Depth]])</f>
        <v/>
      </c>
      <c r="L11" s="40" t="n"/>
      <c r="M11" s="40" t="n"/>
      <c r="N11" s="40" t="n"/>
      <c r="O11" s="40" t="n"/>
    </row>
    <row r="12" ht="18" customFormat="1" customHeight="1" s="42">
      <c r="A12" s="34" t="inlineStr">
        <is>
          <t>S&amp;V</t>
        </is>
      </c>
      <c r="B12" s="35" t="n">
        <v>45078</v>
      </c>
      <c r="C12" s="36" t="inlineStr">
        <is>
          <t>Paldea Evolved</t>
        </is>
      </c>
      <c r="D12" s="93" t="n">
        <v>419</v>
      </c>
      <c r="E12" s="93" t="n">
        <v>1366</v>
      </c>
      <c r="F12" s="38" t="n">
        <v>418</v>
      </c>
      <c r="G12" s="39">
        <f>Table14[[#This Row],[BB Price - Or 6 Booster Equivalent?]]/E12</f>
        <v/>
      </c>
      <c r="H12" s="40" t="n"/>
      <c r="I12" s="41">
        <f>Table14[[#This Row],[Top 3 Chase Cards]]/Table14[[#This Row],[Set Value (GBP)]]</f>
        <v/>
      </c>
      <c r="J12" s="40" t="inlineStr">
        <is>
          <t>Printing Till Sprint 2026</t>
        </is>
      </c>
      <c r="K12" s="34">
        <f>SUM(Table14[[#This Row],[Scarcity (Print Status)]:[Set Depth]])</f>
        <v/>
      </c>
      <c r="L12" s="40" t="n">
        <v>4</v>
      </c>
      <c r="M12" s="40" t="n"/>
      <c r="N12" s="40" t="n"/>
      <c r="O12" s="40" t="n"/>
    </row>
    <row r="13" ht="18" customFormat="1" customHeight="1" s="42">
      <c r="A13" s="34" t="inlineStr">
        <is>
          <t>S&amp;V</t>
        </is>
      </c>
      <c r="B13" s="35" t="n">
        <v>45352</v>
      </c>
      <c r="C13" s="36" t="inlineStr">
        <is>
          <t>Temporal Forces</t>
        </is>
      </c>
      <c r="D13" s="93" t="n">
        <v>250</v>
      </c>
      <c r="E13" s="93" t="n">
        <v>810</v>
      </c>
      <c r="F13" s="38" t="n">
        <v>152</v>
      </c>
      <c r="G13" s="39">
        <f>Table14[[#This Row],[BB Price - Or 6 Booster Equivalent?]]/E13</f>
        <v/>
      </c>
      <c r="H13" s="40" t="n"/>
      <c r="I13" s="41">
        <f>Table14[[#This Row],[Top 3 Chase Cards]]/Table14[[#This Row],[Set Value (GBP)]]</f>
        <v/>
      </c>
      <c r="J13" s="40" t="inlineStr">
        <is>
          <t>In Print</t>
        </is>
      </c>
      <c r="K13" s="34">
        <f>SUM(Table14[[#This Row],[Scarcity (Print Status)]:[Set Depth]])</f>
        <v/>
      </c>
      <c r="L13" s="40" t="n">
        <v>4</v>
      </c>
      <c r="M13" s="40" t="n"/>
      <c r="N13" s="40" t="n"/>
      <c r="O13" s="40" t="n"/>
    </row>
    <row r="14" ht="18" customHeight="1">
      <c r="A14" s="34" t="inlineStr">
        <is>
          <t>S&amp;V</t>
        </is>
      </c>
      <c r="B14" s="35" t="n">
        <v>45413</v>
      </c>
      <c r="C14" s="36" t="inlineStr">
        <is>
          <t>Twilight Masquerade</t>
        </is>
      </c>
      <c r="D14" s="93" t="n">
        <v>320</v>
      </c>
      <c r="E14" s="93" t="n">
        <v>1011</v>
      </c>
      <c r="F14" s="38" t="n">
        <v>402</v>
      </c>
      <c r="G14" s="39">
        <f>Table14[[#This Row],[BB Price - Or 6 Booster Equivalent?]]/E14</f>
        <v/>
      </c>
      <c r="H14" s="40" t="inlineStr">
        <is>
          <t>Neutral</t>
        </is>
      </c>
      <c r="I14" s="41">
        <f>Table14[[#This Row],[Top 3 Chase Cards]]/Table14[[#This Row],[Set Value (GBP)]]</f>
        <v/>
      </c>
      <c r="J14" s="40" t="inlineStr">
        <is>
          <t>In Print</t>
        </is>
      </c>
      <c r="K14" s="34">
        <f>SUM(Table14[[#This Row],[Scarcity (Print Status)]:[Set Depth]])</f>
        <v/>
      </c>
      <c r="L14" s="40" t="n">
        <v>2</v>
      </c>
      <c r="M14" s="40" t="n"/>
      <c r="N14" s="40" t="n"/>
      <c r="O14" s="40" t="n"/>
    </row>
    <row r="15" ht="18" customFormat="1" customHeight="1" s="60">
      <c r="A15" s="1" t="inlineStr">
        <is>
          <t>S&amp;V</t>
        </is>
      </c>
      <c r="B15" s="23" t="n">
        <v>45778</v>
      </c>
      <c r="C15" s="18" t="inlineStr">
        <is>
          <t>Destined Rivals</t>
        </is>
      </c>
      <c r="D15" s="92" t="n">
        <v>510</v>
      </c>
      <c r="E15" s="92" t="n">
        <v>1558</v>
      </c>
      <c r="F15" s="10" t="n">
        <v>813</v>
      </c>
      <c r="G15" s="16">
        <f>Table14[[#This Row],[BB Price - Or 6 Booster Equivalent?]]/E15</f>
        <v/>
      </c>
      <c r="H15" s="1" t="inlineStr">
        <is>
          <t>ACCUMULATE</t>
        </is>
      </c>
      <c r="I15" s="10">
        <f>Table14[[#This Row],[Top 3 Chase Cards]]/Table14[[#This Row],[Set Value (GBP)]]</f>
        <v/>
      </c>
      <c r="J15" s="84" t="n"/>
      <c r="K15" s="1">
        <f>SUM(Table14[[#This Row],[Scarcity (Print Status)]:[Set Depth]])</f>
        <v/>
      </c>
      <c r="L15" s="84" t="n">
        <v>4</v>
      </c>
      <c r="M15" s="84" t="n">
        <v>5</v>
      </c>
      <c r="N15" s="84" t="n">
        <v>5</v>
      </c>
      <c r="O15" s="84" t="n">
        <v>5</v>
      </c>
    </row>
    <row r="16" ht="18" customFormat="1" customHeight="1" s="33">
      <c r="A16" s="43" t="inlineStr">
        <is>
          <t>SWSH</t>
        </is>
      </c>
      <c r="B16" s="44" t="n">
        <v>44256</v>
      </c>
      <c r="C16" s="45" t="inlineStr">
        <is>
          <t>Battle Styles</t>
        </is>
      </c>
      <c r="D16" s="95" t="n">
        <v>240</v>
      </c>
      <c r="E16" s="95" t="n">
        <v>694</v>
      </c>
      <c r="F16" s="47" t="n">
        <v>325</v>
      </c>
      <c r="G16" s="48">
        <f>Table14[[#This Row],[BB Price - Or 6 Booster Equivalent?]]/E16</f>
        <v/>
      </c>
      <c r="H16" s="49" t="n"/>
      <c r="I16" s="50">
        <f>Table14[[#This Row],[Top 3 Chase Cards]]/Table14[[#This Row],[Set Value (GBP)]]</f>
        <v/>
      </c>
      <c r="J16" s="49" t="n"/>
      <c r="K16" s="43">
        <f>SUM(Table14[[#This Row],[Scarcity (Print Status)]:[Set Depth]])</f>
        <v/>
      </c>
      <c r="L16" s="49" t="n"/>
      <c r="M16" s="49" t="n"/>
      <c r="N16" s="49" t="n"/>
      <c r="O16" s="49" t="n"/>
    </row>
    <row r="17" ht="18" customFormat="1" customHeight="1" s="33">
      <c r="A17" s="43" t="inlineStr">
        <is>
          <t>SWSH</t>
        </is>
      </c>
      <c r="B17" s="44" t="n">
        <v>44682</v>
      </c>
      <c r="C17" s="45" t="inlineStr">
        <is>
          <t>Astral Radiance</t>
        </is>
      </c>
      <c r="D17" s="95" t="n">
        <v>390</v>
      </c>
      <c r="E17" s="95" t="n">
        <v>1000</v>
      </c>
      <c r="F17" s="47" t="n">
        <v>321</v>
      </c>
      <c r="G17" s="48">
        <f>Table14[[#This Row],[BB Price - Or 6 Booster Equivalent?]]/E17</f>
        <v/>
      </c>
      <c r="H17" s="49" t="n"/>
      <c r="I17" s="50">
        <f>Table14[[#This Row],[Top 3 Chase Cards]]/Table14[[#This Row],[Set Value (GBP)]]</f>
        <v/>
      </c>
      <c r="J17" s="49" t="n"/>
      <c r="K17" s="43">
        <f>SUM(Table14[[#This Row],[Scarcity (Print Status)]:[Set Depth]])</f>
        <v/>
      </c>
      <c r="L17" s="49" t="n"/>
      <c r="M17" s="49" t="n"/>
      <c r="N17" s="49" t="n"/>
      <c r="O17" s="49" t="n"/>
    </row>
    <row r="18" ht="18" customFormat="1" customHeight="1" s="60">
      <c r="A18" s="43" t="inlineStr">
        <is>
          <t>S&amp;V</t>
        </is>
      </c>
      <c r="B18" s="44" t="n">
        <v>44986</v>
      </c>
      <c r="C18" s="45" t="inlineStr">
        <is>
          <t>S&amp;V Base set</t>
        </is>
      </c>
      <c r="D18" s="95" t="n">
        <v>255</v>
      </c>
      <c r="E18" s="95" t="n">
        <v>609</v>
      </c>
      <c r="F18" s="47" t="n">
        <v>130</v>
      </c>
      <c r="G18" s="48">
        <f>Table14[[#This Row],[BB Price - Or 6 Booster Equivalent?]]/E18</f>
        <v/>
      </c>
      <c r="H18" s="49" t="n"/>
      <c r="I18" s="50">
        <f>Table14[[#This Row],[Top 3 Chase Cards]]/Table14[[#This Row],[Set Value (GBP)]]</f>
        <v/>
      </c>
      <c r="J18" s="49" t="inlineStr">
        <is>
          <t>Printing Till Sprint 2026</t>
        </is>
      </c>
      <c r="K18" s="43">
        <f>SUM(Table14[[#This Row],[Scarcity (Print Status)]:[Set Depth]])</f>
        <v/>
      </c>
      <c r="L18" s="49" t="n"/>
      <c r="M18" s="49" t="n"/>
      <c r="N18" s="49" t="n"/>
      <c r="O18" s="49" t="n"/>
    </row>
    <row r="19" ht="3" customFormat="1" customHeight="1" s="60">
      <c r="A19" s="1" t="inlineStr">
        <is>
          <t>SWSH</t>
        </is>
      </c>
      <c r="B19" s="23" t="n">
        <v>44409</v>
      </c>
      <c r="C19" s="19" t="inlineStr">
        <is>
          <t>Evolving Skies</t>
        </is>
      </c>
      <c r="D19" s="91" t="n">
        <v>2500</v>
      </c>
      <c r="E19" s="91" t="n">
        <v>5846</v>
      </c>
      <c r="F19" s="6" t="n">
        <v>2737</v>
      </c>
      <c r="G19" s="16">
        <f>Table14[[#This Row],[BB Price - Or 6 Booster Equivalent?]]/E19</f>
        <v/>
      </c>
      <c r="H19" s="1" t="inlineStr">
        <is>
          <t>BLUE CHIP (Core Hold)</t>
        </is>
      </c>
      <c r="I19" s="10">
        <f>Table14[[#This Row],[Top 3 Chase Cards]]/Table14[[#This Row],[Set Value (GBP)]]</f>
        <v/>
      </c>
      <c r="J19" s="84" t="inlineStr">
        <is>
          <t>Long-Term OOP</t>
        </is>
      </c>
      <c r="K19" s="1">
        <f>SUM(Table14[[#This Row],[Scarcity (Print Status)]:[Set Depth]])</f>
        <v/>
      </c>
      <c r="L19" s="84" t="n">
        <v>5</v>
      </c>
      <c r="M19" s="84" t="n">
        <v>5</v>
      </c>
      <c r="N19" s="84" t="n">
        <v>5</v>
      </c>
      <c r="O19" s="84" t="n">
        <v>5</v>
      </c>
    </row>
    <row r="20" ht="18" customFormat="1" customHeight="1" s="51">
      <c r="A20" s="25" t="inlineStr">
        <is>
          <t>S&amp;V</t>
        </is>
      </c>
      <c r="B20" s="26" t="n">
        <v>45717</v>
      </c>
      <c r="C20" s="27" t="inlineStr">
        <is>
          <t>Journey Together (Enhanced)</t>
        </is>
      </c>
      <c r="D20" s="96" t="n">
        <v>252</v>
      </c>
      <c r="E20" s="96" t="n">
        <v>541</v>
      </c>
      <c r="F20" s="29" t="n">
        <v>232</v>
      </c>
      <c r="G20" s="30">
        <f>Table14[[#This Row],[BB Price - Or 6 Booster Equivalent?]]/E20</f>
        <v/>
      </c>
      <c r="H20" s="86" t="n"/>
      <c r="I20" s="32">
        <f>Table14[[#This Row],[Top 3 Chase Cards]]/Table14[[#This Row],[Set Value (GBP)]]</f>
        <v/>
      </c>
      <c r="J20" s="86" t="n"/>
      <c r="K20" s="25">
        <f>SUM(Table14[[#This Row],[Scarcity (Print Status)]:[Set Depth]])</f>
        <v/>
      </c>
      <c r="L20" s="86" t="n"/>
      <c r="M20" s="86" t="n"/>
      <c r="N20" s="86" t="n"/>
      <c r="O20" s="86" t="n"/>
    </row>
    <row r="21" ht="18" customFormat="1" customHeight="1" s="33">
      <c r="A21" s="34" t="inlineStr">
        <is>
          <t>SWSH</t>
        </is>
      </c>
      <c r="B21" s="35" t="n">
        <v>44805</v>
      </c>
      <c r="C21" s="36" t="inlineStr">
        <is>
          <t>Lost Origin</t>
        </is>
      </c>
      <c r="D21" s="93" t="n">
        <v>733</v>
      </c>
      <c r="E21" s="93" t="n">
        <v>1500</v>
      </c>
      <c r="F21" s="38" t="n">
        <v>933</v>
      </c>
      <c r="G21" s="39">
        <f>Table14[[#This Row],[BB Price - Or 6 Booster Equivalent?]]/E21</f>
        <v/>
      </c>
      <c r="H21" s="40" t="n"/>
      <c r="I21" s="41">
        <f>Table14[[#This Row],[Top 3 Chase Cards]]/Table14[[#This Row],[Set Value (GBP)]]</f>
        <v/>
      </c>
      <c r="J21" s="40" t="n"/>
      <c r="K21" s="34">
        <f>SUM(Table14[[#This Row],[Scarcity (Print Status)]:[Set Depth]])</f>
        <v/>
      </c>
      <c r="L21" s="40" t="n"/>
      <c r="M21" s="40" t="n"/>
      <c r="N21" s="40" t="n"/>
      <c r="O21" s="40" t="n"/>
    </row>
    <row r="22" ht="18" customFormat="1" customHeight="1" s="33">
      <c r="A22" s="52" t="inlineStr">
        <is>
          <t>S&amp;V</t>
        </is>
      </c>
      <c r="B22" s="53" t="n">
        <v>45170</v>
      </c>
      <c r="C22" s="61" t="n">
        <v>151</v>
      </c>
      <c r="D22" s="94" t="n">
        <v>780</v>
      </c>
      <c r="E22" s="94" t="n">
        <v>1530</v>
      </c>
      <c r="F22" s="56" t="n">
        <v>633</v>
      </c>
      <c r="G22" s="57">
        <f>Table14[[#This Row],[BB Price - Or 6 Booster Equivalent?]]/E22</f>
        <v/>
      </c>
      <c r="H22" s="58" t="n"/>
      <c r="I22" s="59">
        <f>Table14[[#This Row],[Top 3 Chase Cards]]/Table14[[#This Row],[Set Value (GBP)]]</f>
        <v/>
      </c>
      <c r="J22" s="58" t="inlineStr">
        <is>
          <t>Printing Till Sprint 2026</t>
        </is>
      </c>
      <c r="K22" s="52">
        <f>SUM(Table14[[#This Row],[Scarcity (Print Status)]:[Set Depth]])</f>
        <v/>
      </c>
      <c r="L22" s="58" t="n"/>
      <c r="M22" s="58" t="n"/>
      <c r="N22" s="58" t="n"/>
      <c r="O22" s="58" t="n"/>
    </row>
    <row r="23" ht="18" customFormat="1" customHeight="1" s="42">
      <c r="A23" s="34" t="inlineStr">
        <is>
          <t>SWSH</t>
        </is>
      </c>
      <c r="B23" s="35" t="n">
        <v>44593</v>
      </c>
      <c r="C23" s="36" t="inlineStr">
        <is>
          <t>Brilliant Stars</t>
        </is>
      </c>
      <c r="D23" s="93" t="n">
        <v>580</v>
      </c>
      <c r="E23" s="93" t="n">
        <v>1100</v>
      </c>
      <c r="F23" s="38" t="n">
        <v>371</v>
      </c>
      <c r="G23" s="39">
        <f>Table14[[#This Row],[BB Price - Or 6 Booster Equivalent?]]/E23</f>
        <v/>
      </c>
      <c r="H23" s="40" t="n"/>
      <c r="I23" s="41">
        <f>Table14[[#This Row],[Top 3 Chase Cards]]/Table14[[#This Row],[Set Value (GBP)]]</f>
        <v/>
      </c>
      <c r="J23" s="40" t="n"/>
      <c r="K23" s="34">
        <f>SUM(Table14[[#This Row],[Scarcity (Print Status)]:[Set Depth]])</f>
        <v/>
      </c>
      <c r="L23" s="40" t="n"/>
      <c r="M23" s="40" t="n"/>
      <c r="N23" s="40" t="n"/>
      <c r="O23" s="40" t="n"/>
    </row>
    <row r="24" ht="18" customFormat="1" customHeight="1" s="51">
      <c r="A24" s="25" t="inlineStr">
        <is>
          <t>S&amp;V</t>
        </is>
      </c>
      <c r="B24" s="26" t="n">
        <v>45292</v>
      </c>
      <c r="C24" s="27" t="inlineStr">
        <is>
          <t>Paldean Fates</t>
        </is>
      </c>
      <c r="D24" s="96" t="n">
        <v>800</v>
      </c>
      <c r="E24" s="96" t="n">
        <v>1513</v>
      </c>
      <c r="F24" s="29" t="n">
        <v>798</v>
      </c>
      <c r="G24" s="30">
        <f>Table14[[#This Row],[BB Price - Or 6 Booster Equivalent?]]/E24</f>
        <v/>
      </c>
      <c r="H24" s="86" t="n"/>
      <c r="I24" s="32">
        <f>Table14[[#This Row],[Top 3 Chase Cards]]/Table14[[#This Row],[Set Value (GBP)]]</f>
        <v/>
      </c>
      <c r="J24" s="86" t="inlineStr">
        <is>
          <t>Printing Till Sprint 2026</t>
        </is>
      </c>
      <c r="K24" s="25">
        <f>SUM(Table14[[#This Row],[Scarcity (Print Status)]:[Set Depth]])</f>
        <v/>
      </c>
      <c r="L24" s="86" t="n"/>
      <c r="M24" s="86" t="n"/>
      <c r="N24" s="86" t="n"/>
      <c r="O24" s="86" t="n"/>
    </row>
    <row r="25" ht="18" customHeight="1">
      <c r="A25" s="25" t="inlineStr">
        <is>
          <t>S&amp;V</t>
        </is>
      </c>
      <c r="B25" s="26" t="n">
        <v>45505</v>
      </c>
      <c r="C25" s="27" t="inlineStr">
        <is>
          <t xml:space="preserve">Shrouded Fable </t>
        </is>
      </c>
      <c r="D25" s="96" t="n">
        <v>240</v>
      </c>
      <c r="E25" s="96" t="n">
        <v>434</v>
      </c>
      <c r="F25" s="29" t="n">
        <v>124</v>
      </c>
      <c r="G25" s="30">
        <f>Table14[[#This Row],[BB Price - Or 6 Booster Equivalent?]]/E25</f>
        <v/>
      </c>
      <c r="H25" s="86" t="n"/>
      <c r="I25" s="32">
        <f>Table14[[#This Row],[Top 3 Chase Cards]]/Table14[[#This Row],[Set Value (GBP)]]</f>
        <v/>
      </c>
      <c r="J25" s="86" t="inlineStr">
        <is>
          <t>In Print</t>
        </is>
      </c>
      <c r="K25" s="25">
        <f>SUM(Table14[[#This Row],[Scarcity (Print Status)]:[Set Depth]])</f>
        <v/>
      </c>
      <c r="L25" s="86" t="n"/>
      <c r="M25" s="86" t="n"/>
      <c r="N25" s="86" t="n"/>
      <c r="O25" s="86" t="n"/>
    </row>
    <row r="26" ht="18" customHeight="1">
      <c r="A26" s="1" t="inlineStr">
        <is>
          <t>SWSH</t>
        </is>
      </c>
      <c r="B26" s="23" t="n">
        <v>44501</v>
      </c>
      <c r="C26" s="19" t="inlineStr">
        <is>
          <t>Fusion Strike</t>
        </is>
      </c>
      <c r="D26" s="91" t="n">
        <v>1005</v>
      </c>
      <c r="E26" s="91" t="n">
        <v>1776</v>
      </c>
      <c r="F26" s="6" t="n">
        <v>1205</v>
      </c>
      <c r="G26" s="16">
        <f>Table14[[#This Row],[BB Price - Or 6 Booster Equivalent?]]/E26</f>
        <v/>
      </c>
      <c r="H26" s="84" t="inlineStr">
        <is>
          <t>Hold / Take Profits</t>
        </is>
      </c>
      <c r="I26" s="10">
        <f>Table14[[#This Row],[Top 3 Chase Cards]]/Table14[[#This Row],[Set Value (GBP)]]</f>
        <v/>
      </c>
      <c r="J26" s="84" t="n"/>
      <c r="K26" s="1">
        <f>SUM(Table14[[#This Row],[Scarcity (Print Status)]:[Set Depth]])</f>
        <v/>
      </c>
      <c r="L26" s="84" t="n"/>
      <c r="M26" s="84" t="n"/>
      <c r="N26" s="84" t="n"/>
      <c r="O26" s="84" t="n"/>
    </row>
    <row r="27" ht="18" customHeight="1">
      <c r="A27" s="25" t="inlineStr">
        <is>
          <t>SWSH</t>
        </is>
      </c>
      <c r="B27" s="26" t="n">
        <v>44136</v>
      </c>
      <c r="C27" s="27" t="inlineStr">
        <is>
          <t>Vivid Voltage</t>
        </is>
      </c>
      <c r="D27" s="96" t="n">
        <v>280</v>
      </c>
      <c r="E27" s="96" t="n">
        <v>470</v>
      </c>
      <c r="F27" s="29" t="n">
        <v>190</v>
      </c>
      <c r="G27" s="30">
        <f>Table14[[#This Row],[BB Price - Or 6 Booster Equivalent?]]/E27</f>
        <v/>
      </c>
      <c r="H27" s="86" t="n"/>
      <c r="I27" s="32">
        <f>Table14[[#This Row],[Top 3 Chase Cards]]/Table14[[#This Row],[Set Value (GBP)]]</f>
        <v/>
      </c>
      <c r="J27" s="86" t="n"/>
      <c r="K27" s="25">
        <f>SUM(Table14[[#This Row],[Scarcity (Print Status)]:[Set Depth]])</f>
        <v/>
      </c>
      <c r="L27" s="86" t="n">
        <v>5</v>
      </c>
      <c r="M27" s="86" t="n">
        <v>5</v>
      </c>
      <c r="N27" s="86" t="n">
        <v>3</v>
      </c>
      <c r="O27" s="86" t="n">
        <v>1</v>
      </c>
    </row>
    <row r="28" ht="18" customHeight="1">
      <c r="A28" s="34" t="inlineStr">
        <is>
          <t>SWSH</t>
        </is>
      </c>
      <c r="B28" s="35" t="n">
        <v>44927</v>
      </c>
      <c r="C28" s="36" t="inlineStr">
        <is>
          <t>Crown Zenith</t>
        </is>
      </c>
      <c r="D28" s="93" t="n">
        <v>1140</v>
      </c>
      <c r="E28" s="93" t="n">
        <v>1750</v>
      </c>
      <c r="F28" s="38" t="n">
        <v>524</v>
      </c>
      <c r="G28" s="39">
        <f>Table14[[#This Row],[BB Price - Or 6 Booster Equivalent?]]/E28</f>
        <v/>
      </c>
      <c r="H28" s="40" t="n"/>
      <c r="I28" s="41">
        <f>Table14[[#This Row],[Top 3 Chase Cards]]/Table14[[#This Row],[Set Value (GBP)]]</f>
        <v/>
      </c>
      <c r="J28" s="40" t="n"/>
      <c r="K28" s="34">
        <f>SUM(Table14[[#This Row],[Scarcity (Print Status)]:[Set Depth]])</f>
        <v/>
      </c>
      <c r="L28" s="40" t="n"/>
      <c r="M28" s="40" t="n"/>
      <c r="N28" s="40" t="n"/>
      <c r="O28" s="40" t="n"/>
    </row>
    <row r="29" ht="18" customHeight="1">
      <c r="A29" s="1" t="inlineStr">
        <is>
          <t>S&amp;M</t>
        </is>
      </c>
      <c r="B29" s="23" t="n">
        <v>43678</v>
      </c>
      <c r="C29" s="19" t="inlineStr">
        <is>
          <t>Hidden Fates</t>
        </is>
      </c>
      <c r="D29" s="91" t="n">
        <v>1800</v>
      </c>
      <c r="E29" s="91" t="n">
        <v>2700</v>
      </c>
      <c r="F29" s="6" t="n">
        <v>947</v>
      </c>
      <c r="G29" s="16">
        <f>Table14[[#This Row],[BB Price - Or 6 Booster Equivalent?]]/E29</f>
        <v/>
      </c>
      <c r="H29" s="84" t="n"/>
      <c r="I29" s="10">
        <f>Table14[[#This Row],[Top 3 Chase Cards]]/Table14[[#This Row],[Set Value (GBP)]]</f>
        <v/>
      </c>
      <c r="J29" s="84" t="n"/>
      <c r="K29" s="1">
        <f>SUM(Table14[[#This Row],[Scarcity (Print Status)]:[Set Depth]])</f>
        <v/>
      </c>
      <c r="L29" s="84" t="n"/>
      <c r="M29" s="84" t="n"/>
      <c r="N29" s="84" t="n"/>
      <c r="O29" s="84" t="n"/>
    </row>
    <row r="30" ht="18" customFormat="1" customHeight="1" s="51">
      <c r="A30" s="1" t="inlineStr">
        <is>
          <t>S&amp;V</t>
        </is>
      </c>
      <c r="B30" s="23" t="n">
        <v>45536</v>
      </c>
      <c r="C30" s="19" t="inlineStr">
        <is>
          <t>Stellar Crown</t>
        </is>
      </c>
      <c r="D30" s="91" t="n">
        <v>290</v>
      </c>
      <c r="E30" s="91" t="n">
        <v>420</v>
      </c>
      <c r="F30" s="6" t="n">
        <v>176</v>
      </c>
      <c r="G30" s="16">
        <f>Table14[[#This Row],[BB Price - Or 6 Booster Equivalent?]]/E30</f>
        <v/>
      </c>
      <c r="H30" s="84" t="inlineStr">
        <is>
          <t>Overvalued (Avoid)</t>
        </is>
      </c>
      <c r="I30" s="10">
        <f>Table14[[#This Row],[Top 3 Chase Cards]]/Table14[[#This Row],[Set Value (GBP)]]</f>
        <v/>
      </c>
      <c r="J30" s="84" t="inlineStr">
        <is>
          <t>In Print</t>
        </is>
      </c>
      <c r="K30" s="1">
        <f>SUM(Table14[[#This Row],[Scarcity (Print Status)]:[Set Depth]])</f>
        <v/>
      </c>
      <c r="L30" s="84" t="n"/>
      <c r="M30" s="84" t="n"/>
      <c r="N30" s="84" t="n"/>
      <c r="O30" s="84" t="n"/>
    </row>
    <row r="31" ht="18" customFormat="1" customHeight="1" s="33">
      <c r="A31" s="1" t="inlineStr">
        <is>
          <t>S&amp;M</t>
        </is>
      </c>
      <c r="B31" s="23" t="n">
        <v>43770</v>
      </c>
      <c r="C31" s="19" t="inlineStr">
        <is>
          <t>Cosmic Eclipse</t>
        </is>
      </c>
      <c r="D31" s="91" t="n">
        <v>3829</v>
      </c>
      <c r="E31" s="91" t="n">
        <v>5371</v>
      </c>
      <c r="F31" s="6" t="n">
        <v>1259</v>
      </c>
      <c r="G31" s="16">
        <f>Table14[[#This Row],[BB Price - Or 6 Booster Equivalent?]]/E31</f>
        <v/>
      </c>
      <c r="H31" s="84" t="inlineStr">
        <is>
          <t>Mature / Hold</t>
        </is>
      </c>
      <c r="I31" s="10">
        <f>Table14[[#This Row],[Top 3 Chase Cards]]/Table14[[#This Row],[Set Value (GBP)]]</f>
        <v/>
      </c>
      <c r="J31" s="84" t="n"/>
      <c r="K31" s="1">
        <f>SUM(Table14[[#This Row],[Scarcity (Print Status)]:[Set Depth]])</f>
        <v/>
      </c>
      <c r="L31" s="84" t="n"/>
      <c r="M31" s="84" t="n"/>
      <c r="N31" s="84" t="n"/>
      <c r="O31" s="84" t="n"/>
    </row>
    <row r="32" ht="18" customFormat="1" customHeight="1" s="42">
      <c r="A32" s="1" t="inlineStr">
        <is>
          <t>S&amp;M</t>
        </is>
      </c>
      <c r="B32" s="23" t="n">
        <v>43405</v>
      </c>
      <c r="C32" s="19" t="inlineStr">
        <is>
          <t>Lost Thunder</t>
        </is>
      </c>
      <c r="D32" s="91" t="n">
        <v>1757</v>
      </c>
      <c r="E32" s="91" t="n">
        <v>2273</v>
      </c>
      <c r="F32" s="6" t="n">
        <v>551</v>
      </c>
      <c r="G32" s="16">
        <f>Table14[[#This Row],[BB Price - Or 6 Booster Equivalent?]]/E32</f>
        <v/>
      </c>
      <c r="H32" s="84" t="n"/>
      <c r="I32" s="10">
        <f>Table14[[#This Row],[Top 3 Chase Cards]]/Table14[[#This Row],[Set Value (GBP)]]</f>
        <v/>
      </c>
      <c r="J32" s="7" t="n"/>
      <c r="K32" s="1">
        <f>SUM(Table14[[#This Row],[Scarcity (Print Status)]:[Set Depth]])</f>
        <v/>
      </c>
      <c r="L32" s="84" t="n"/>
      <c r="M32" s="84" t="n"/>
      <c r="N32" s="84" t="n"/>
      <c r="O32" s="84" t="n"/>
    </row>
    <row r="33" ht="18" customFormat="1" customHeight="1" s="42">
      <c r="A33" s="1" t="inlineStr">
        <is>
          <t>S&amp;M</t>
        </is>
      </c>
      <c r="B33" s="23" t="n">
        <v>43586</v>
      </c>
      <c r="C33" s="19" t="inlineStr">
        <is>
          <t>Unbroken Bonds</t>
        </is>
      </c>
      <c r="D33" s="91" t="n">
        <v>2658</v>
      </c>
      <c r="E33" s="91" t="n">
        <v>3435</v>
      </c>
      <c r="F33" s="6" t="n">
        <v>1054</v>
      </c>
      <c r="G33" s="16">
        <f>Table14[[#This Row],[BB Price - Or 6 Booster Equivalent?]]/E33</f>
        <v/>
      </c>
      <c r="H33" s="84" t="n"/>
      <c r="I33" s="10">
        <f>Table14[[#This Row],[Top 3 Chase Cards]]/Table14[[#This Row],[Set Value (GBP)]]</f>
        <v/>
      </c>
      <c r="J33" s="84" t="n"/>
      <c r="K33" s="1">
        <f>SUM(Table14[[#This Row],[Scarcity (Print Status)]:[Set Depth]])</f>
        <v/>
      </c>
      <c r="L33" s="84" t="n"/>
      <c r="M33" s="84" t="n"/>
      <c r="N33" s="84" t="n"/>
      <c r="O33" s="84" t="n"/>
    </row>
    <row r="34" ht="18" customHeight="1">
      <c r="A34" s="25" t="inlineStr">
        <is>
          <t>S&amp;V</t>
        </is>
      </c>
      <c r="B34" s="26" t="n">
        <v>45139</v>
      </c>
      <c r="C34" s="27" t="inlineStr">
        <is>
          <t>Obsidian Flames</t>
        </is>
      </c>
      <c r="D34" s="96" t="n">
        <v>300</v>
      </c>
      <c r="E34" s="96" t="n">
        <v>382</v>
      </c>
      <c r="F34" s="29" t="n">
        <v>146</v>
      </c>
      <c r="G34" s="30">
        <f>Table14[[#This Row],[BB Price - Or 6 Booster Equivalent?]]/E34</f>
        <v/>
      </c>
      <c r="H34" s="25" t="inlineStr">
        <is>
          <t>AVOID (Peak Hype)</t>
        </is>
      </c>
      <c r="I34" s="32">
        <f>Table14[[#This Row],[Top 3 Chase Cards]]/Table14[[#This Row],[Set Value (GBP)]]</f>
        <v/>
      </c>
      <c r="J34" s="86" t="inlineStr">
        <is>
          <t>Printing Till Sprint 2026</t>
        </is>
      </c>
      <c r="K34" s="25">
        <f>SUM(Table14[[#This Row],[Scarcity (Print Status)]:[Set Depth]])</f>
        <v/>
      </c>
      <c r="L34" s="86" t="n"/>
      <c r="M34" s="86" t="n"/>
      <c r="N34" s="86" t="n"/>
      <c r="O34" s="86" t="n"/>
    </row>
    <row r="35" ht="18" customHeight="1">
      <c r="A35" s="1" t="inlineStr">
        <is>
          <t>S&amp;M</t>
        </is>
      </c>
      <c r="B35" s="23" t="n">
        <v>43678</v>
      </c>
      <c r="C35" s="19" t="inlineStr">
        <is>
          <t>Unified Minds</t>
        </is>
      </c>
      <c r="D35" s="91" t="n">
        <v>3111</v>
      </c>
      <c r="E35" s="91" t="n">
        <v>3846</v>
      </c>
      <c r="F35" s="6" t="n">
        <v>1009</v>
      </c>
      <c r="G35" s="16">
        <f>Table14[[#This Row],[BB Price - Or 6 Booster Equivalent?]]/E35</f>
        <v/>
      </c>
      <c r="H35" s="84" t="n"/>
      <c r="I35" s="10">
        <f>Table14[[#This Row],[Top 3 Chase Cards]]/Table14[[#This Row],[Set Value (GBP)]]</f>
        <v/>
      </c>
      <c r="J35" s="84" t="n"/>
      <c r="K35" s="1">
        <f>SUM(Table14[[#This Row],[Scarcity (Print Status)]:[Set Depth]])</f>
        <v/>
      </c>
      <c r="L35" s="84" t="n"/>
      <c r="M35" s="84" t="n"/>
      <c r="N35" s="84" t="n"/>
      <c r="O35" s="84" t="n"/>
    </row>
    <row r="36" ht="18" customHeight="1">
      <c r="A36" s="1" t="inlineStr">
        <is>
          <t>S&amp;M</t>
        </is>
      </c>
      <c r="B36" s="23" t="n">
        <v>43132</v>
      </c>
      <c r="C36" s="19" t="inlineStr">
        <is>
          <t>Ultra Prism</t>
        </is>
      </c>
      <c r="D36" s="91" t="n">
        <v>1671</v>
      </c>
      <c r="E36" s="91" t="n">
        <v>2002</v>
      </c>
      <c r="F36" s="6" t="n">
        <v>802</v>
      </c>
      <c r="G36" s="16">
        <f>Table14[[#This Row],[BB Price - Or 6 Booster Equivalent?]]/E36</f>
        <v/>
      </c>
      <c r="H36" s="84" t="inlineStr">
        <is>
          <t>Mature / Hold</t>
        </is>
      </c>
      <c r="I36" s="10">
        <f>Table14[[#This Row],[Top 3 Chase Cards]]/Table14[[#This Row],[Set Value (GBP)]]</f>
        <v/>
      </c>
      <c r="J36" s="84" t="n"/>
      <c r="K36" s="1">
        <f>SUM(Table14[[#This Row],[Scarcity (Print Status)]:[Set Depth]])</f>
        <v/>
      </c>
      <c r="L36" s="84" t="n"/>
      <c r="M36" s="84" t="n"/>
      <c r="N36" s="84" t="n"/>
      <c r="O36" s="84" t="n"/>
    </row>
    <row r="37" ht="18" customHeight="1">
      <c r="A37" s="1" t="inlineStr">
        <is>
          <t>SWSH</t>
        </is>
      </c>
      <c r="B37" s="23" t="n">
        <v>44228</v>
      </c>
      <c r="C37" s="19" t="inlineStr">
        <is>
          <t>Shining Fates</t>
        </is>
      </c>
      <c r="D37" s="91" t="n">
        <v>456</v>
      </c>
      <c r="E37" s="91" t="n">
        <v>500</v>
      </c>
      <c r="F37" s="6" t="n">
        <v>152</v>
      </c>
      <c r="G37" s="16">
        <f>Table14[[#This Row],[BB Price - Or 6 Booster Equivalent?]]/E37</f>
        <v/>
      </c>
      <c r="H37" s="84" t="n"/>
      <c r="I37" s="10">
        <f>Table14[[#This Row],[Top 3 Chase Cards]]/Table14[[#This Row],[Set Value (GBP)]]</f>
        <v/>
      </c>
      <c r="J37" s="84" t="n"/>
      <c r="K37" s="1">
        <f>SUM(Table14[[#This Row],[Scarcity (Print Status)]:[Set Depth]])</f>
        <v/>
      </c>
      <c r="L37" s="84" t="n"/>
      <c r="M37" s="84" t="n"/>
      <c r="N37" s="84" t="n"/>
      <c r="O37" s="84" t="n"/>
    </row>
    <row r="38" ht="18" customHeight="1">
      <c r="A38" s="1" t="inlineStr">
        <is>
          <t>SWSH</t>
        </is>
      </c>
      <c r="B38" s="23" t="n">
        <v>43952</v>
      </c>
      <c r="C38" s="19" t="inlineStr">
        <is>
          <t>Rebel Clash</t>
        </is>
      </c>
      <c r="D38" s="91" t="n">
        <v>497</v>
      </c>
      <c r="E38" s="91" t="n">
        <v>478</v>
      </c>
      <c r="F38" s="6" t="n">
        <v>115</v>
      </c>
      <c r="G38" s="16">
        <f>Table14[[#This Row],[BB Price - Or 6 Booster Equivalent?]]/E38</f>
        <v/>
      </c>
      <c r="H38" s="84" t="n"/>
      <c r="I38" s="10">
        <f>Table14[[#This Row],[Top 3 Chase Cards]]/Table14[[#This Row],[Set Value (GBP)]]</f>
        <v/>
      </c>
      <c r="J38" s="84" t="n"/>
      <c r="K38" s="1">
        <f>SUM(Table14[[#This Row],[Scarcity (Print Status)]:[Set Depth]])</f>
        <v/>
      </c>
      <c r="L38" s="84" t="n"/>
      <c r="M38" s="84" t="n"/>
      <c r="N38" s="84" t="n"/>
      <c r="O38" s="84" t="n"/>
    </row>
    <row r="39" ht="18" customFormat="1" customHeight="1" s="42">
      <c r="A39" s="1" t="inlineStr">
        <is>
          <t>SWSH</t>
        </is>
      </c>
      <c r="B39" s="23" t="n">
        <v>44075</v>
      </c>
      <c r="C39" s="19" t="inlineStr">
        <is>
          <t>Champions Path</t>
        </is>
      </c>
      <c r="D39" s="91" t="n">
        <v>612</v>
      </c>
      <c r="E39" s="91" t="n">
        <v>521</v>
      </c>
      <c r="F39" s="6" t="n">
        <v>454</v>
      </c>
      <c r="G39" s="16">
        <f>Table14[[#This Row],[BB Price - Or 6 Booster Equivalent?]]/E39</f>
        <v/>
      </c>
      <c r="H39" s="84" t="n"/>
      <c r="I39" s="10">
        <f>Table14[[#This Row],[Top 3 Chase Cards]]/Table14[[#This Row],[Set Value (GBP)]]</f>
        <v/>
      </c>
      <c r="J39" s="84" t="n"/>
      <c r="K39" s="1">
        <f>SUM(Table14[[#This Row],[Scarcity (Print Status)]:[Set Depth]])</f>
        <v/>
      </c>
      <c r="L39" s="84" t="n"/>
      <c r="M39" s="84" t="n"/>
      <c r="N39" s="84" t="n"/>
      <c r="O39" s="84" t="n"/>
    </row>
    <row r="40" ht="18" customHeight="1">
      <c r="A40" s="1" t="inlineStr">
        <is>
          <t>SWSH</t>
        </is>
      </c>
      <c r="B40" s="23" t="n">
        <v>44044</v>
      </c>
      <c r="C40" s="19" t="inlineStr">
        <is>
          <t>Darkness Ablaze</t>
        </is>
      </c>
      <c r="D40" s="91" t="n">
        <v>324</v>
      </c>
      <c r="E40" s="91" t="n">
        <v>270</v>
      </c>
      <c r="F40" s="6" t="n">
        <v>70</v>
      </c>
      <c r="G40" s="16">
        <f>Table14[[#This Row],[BB Price - Or 6 Booster Equivalent?]]/E40</f>
        <v/>
      </c>
      <c r="H40" s="84" t="n"/>
      <c r="I40" s="10">
        <f>Table14[[#This Row],[Top 3 Chase Cards]]/Table14[[#This Row],[Set Value (GBP)]]</f>
        <v/>
      </c>
      <c r="J40" s="84" t="n"/>
      <c r="K40" s="1">
        <f>SUM(Table14[[#This Row],[Scarcity (Print Status)]:[Set Depth]])</f>
        <v/>
      </c>
      <c r="L40" s="84" t="n"/>
      <c r="M40" s="84" t="n"/>
      <c r="N40" s="84" t="n"/>
      <c r="O40" s="84" t="n"/>
    </row>
    <row r="41" ht="18" customHeight="1">
      <c r="A41" s="1" t="inlineStr">
        <is>
          <t>S&amp;M</t>
        </is>
      </c>
      <c r="B41" s="23" t="n">
        <v>43497</v>
      </c>
      <c r="C41" s="18" t="inlineStr">
        <is>
          <t>Team Up</t>
        </is>
      </c>
      <c r="D41" s="92" t="n">
        <v>10481</v>
      </c>
      <c r="E41" s="92" t="n">
        <v>8730</v>
      </c>
      <c r="F41" s="10" t="n">
        <v>5019</v>
      </c>
      <c r="G41" s="16">
        <f>Table14[[#This Row],[BB Price - Or 6 Booster Equivalent?]]/E41</f>
        <v/>
      </c>
      <c r="H41" s="1" t="inlineStr">
        <is>
          <t>BUBBLE (Sell/Trim)</t>
        </is>
      </c>
      <c r="I41" s="10">
        <f>Table14[[#This Row],[Top 3 Chase Cards]]/Table14[[#This Row],[Set Value (GBP)]]</f>
        <v/>
      </c>
      <c r="J41" s="84" t="n"/>
      <c r="K41" s="1">
        <f>SUM(Table14[[#This Row],[Scarcity (Print Status)]:[Set Depth]])</f>
        <v/>
      </c>
      <c r="L41" s="84" t="n"/>
      <c r="M41" s="84" t="n"/>
      <c r="N41" s="84" t="n"/>
      <c r="O41" s="84" t="n"/>
    </row>
    <row r="42" ht="18" customHeight="1">
      <c r="A42" s="1" t="inlineStr">
        <is>
          <t>SWSH</t>
        </is>
      </c>
      <c r="B42" s="23" t="n">
        <v>43862</v>
      </c>
      <c r="C42" s="19" t="inlineStr">
        <is>
          <t>Sword and Shield</t>
        </is>
      </c>
      <c r="D42" s="91" t="n">
        <v>665</v>
      </c>
      <c r="E42" s="91" t="n">
        <v>500</v>
      </c>
      <c r="F42" s="6" t="n">
        <v>153</v>
      </c>
      <c r="G42" s="16">
        <f>Table14[[#This Row],[BB Price - Or 6 Booster Equivalent?]]/E42</f>
        <v/>
      </c>
      <c r="H42" s="84" t="n"/>
      <c r="I42" s="10">
        <f>Table14[[#This Row],[Top 3 Chase Cards]]/Table14[[#This Row],[Set Value (GBP)]]</f>
        <v/>
      </c>
      <c r="J42" s="84" t="n"/>
      <c r="K42" s="1">
        <f>SUM(Table14[[#This Row],[Scarcity (Print Status)]:[Set Depth]])</f>
        <v/>
      </c>
      <c r="L42" s="84" t="n"/>
      <c r="M42" s="84" t="n"/>
      <c r="N42" s="84" t="n"/>
      <c r="O42" s="84" t="n"/>
    </row>
    <row r="43" ht="18" customHeight="1">
      <c r="A43" s="34" t="inlineStr">
        <is>
          <t>SWSH</t>
        </is>
      </c>
      <c r="B43" s="35" t="n">
        <v>44470</v>
      </c>
      <c r="C43" s="36" t="inlineStr">
        <is>
          <t>Celebrations 25th</t>
        </is>
      </c>
      <c r="D43" s="93" t="n">
        <v>864</v>
      </c>
      <c r="E43" s="93" t="n">
        <v>600</v>
      </c>
      <c r="F43" s="38" t="n">
        <v>313</v>
      </c>
      <c r="G43" s="39">
        <f>Table14[[#This Row],[BB Price - Or 6 Booster Equivalent?]]/E43</f>
        <v/>
      </c>
      <c r="H43" s="40" t="n"/>
      <c r="I43" s="41">
        <f>Table14[[#This Row],[Top 3 Chase Cards]]/Table14[[#This Row],[Set Value (GBP)]]</f>
        <v/>
      </c>
      <c r="J43" s="40" t="n"/>
      <c r="K43" s="34">
        <f>SUM(Table14[[#This Row],[Scarcity (Print Status)]:[Set Depth]])</f>
        <v/>
      </c>
      <c r="L43" s="40" t="n"/>
      <c r="M43" s="40" t="n"/>
      <c r="N43" s="40" t="n"/>
      <c r="O43" s="40" t="n"/>
    </row>
    <row r="44" ht="18" customHeight="1">
      <c r="A44" s="1" t="inlineStr">
        <is>
          <t>SWSH</t>
        </is>
      </c>
      <c r="B44" s="23" t="n">
        <v>42675</v>
      </c>
      <c r="C44" s="19" t="inlineStr">
        <is>
          <t>Evolutions</t>
        </is>
      </c>
      <c r="D44" s="91" t="n">
        <v>1800</v>
      </c>
      <c r="E44" s="91" t="n">
        <v>826</v>
      </c>
      <c r="F44" s="6" t="n">
        <v>253</v>
      </c>
      <c r="G44" s="16">
        <f>Table14[[#This Row],[BB Price - Or 6 Booster Equivalent?]]/E44</f>
        <v/>
      </c>
      <c r="H44" s="84" t="n"/>
      <c r="I44" s="10">
        <f>Table14[[#This Row],[Top 3 Chase Cards]]/Table14[[#This Row],[Set Value (GBP)]]</f>
        <v/>
      </c>
      <c r="J44" s="84" t="n"/>
      <c r="K44" s="1">
        <f>SUM(Table14[[#This Row],[Scarcity (Print Status)]:[Set Depth]])</f>
        <v/>
      </c>
      <c r="L44" s="84" t="n"/>
      <c r="M44" s="84" t="n"/>
      <c r="N44" s="84" t="n"/>
      <c r="O44" s="84" t="n"/>
    </row>
    <row r="45">
      <c r="I45" t="inlineStr">
        <is>
          <t>Chase Card % (Risk Metric)</t>
        </is>
      </c>
    </row>
    <row r="46">
      <c r="I46" t="inlineStr">
        <is>
          <t>is the box a "One-Hit Wonder" or "Diversified Portfolio"?</t>
        </is>
      </c>
    </row>
    <row r="47">
      <c r="I47" t="inlineStr">
        <is>
          <t>Over 50% = High Risk, if those 3 cards lose hype, the box price will collapse</t>
        </is>
      </c>
    </row>
    <row r="48">
      <c r="I48" t="inlineStr">
        <is>
          <t>Under 25% = Stable: Value is spread across many cards, much safer</t>
        </is>
      </c>
    </row>
    <row r="51">
      <c r="J51" s="1" t="n"/>
    </row>
    <row r="52">
      <c r="J52" s="84" t="n"/>
    </row>
    <row r="53">
      <c r="J53" s="84" t="n"/>
    </row>
    <row r="54">
      <c r="J54" s="84" t="n"/>
    </row>
    <row r="58">
      <c r="I58" s="1" t="n"/>
      <c r="J58" s="1" t="n"/>
    </row>
    <row r="59">
      <c r="J59" s="84" t="n"/>
    </row>
    <row r="60">
      <c r="J60" s="84" t="n"/>
    </row>
    <row r="61">
      <c r="J61" s="84" t="n"/>
    </row>
    <row r="62">
      <c r="J62" s="84" t="n"/>
    </row>
    <row r="63">
      <c r="J63" s="84" t="n"/>
    </row>
  </sheetData>
  <conditionalFormatting sqref="B2:B609">
    <cfRule type="expression" priority="1" dxfId="1">
      <formula>AND(B2 &lt; EDATE(TODAY(), -18), B2 &gt; EDATE(TODAY(), -24))</formula>
    </cfRule>
    <cfRule type="expression" priority="3" dxfId="5" stopIfTrue="1">
      <formula>B2&lt; EDATE(TODAY(), -24)</formula>
    </cfRule>
  </conditionalFormatting>
  <conditionalFormatting sqref="G2:G1048576">
    <cfRule type="cellIs" priority="5" operator="greaterThan" dxfId="5" stopIfTrue="1">
      <formula>0.75</formula>
    </cfRule>
    <cfRule type="cellIs" priority="4" operator="lessThan" dxfId="0" stopIfTrue="1">
      <formula>0.5</formula>
    </cfRule>
    <cfRule type="cellIs" priority="6" operator="greaterThan" dxfId="1">
      <formula>0.5</formula>
    </cfRule>
  </conditionalFormatting>
  <conditionalFormatting sqref="I2:I44">
    <cfRule type="cellIs" priority="7" operator="lessThan" dxfId="0" stopIfTrue="1">
      <formula>0.5</formula>
    </cfRule>
    <cfRule type="cellIs" priority="8" operator="greaterThan" dxfId="1">
      <formula>0.5</formula>
    </cfRule>
  </conditionalFormatting>
  <conditionalFormatting sqref="K1:K1048576">
    <cfRule type="cellIs" priority="2" operator="greaterThan" dxfId="0" stopIfTrue="1">
      <formula>15</formula>
    </cfRule>
  </conditionalFormatting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topLeftCell="A13" zoomScale="88" workbookViewId="0">
      <selection activeCell="C36" sqref="C36"/>
    </sheetView>
  </sheetViews>
  <sheetFormatPr baseColWidth="10" defaultRowHeight="16"/>
  <cols>
    <col width="9.1640625" customWidth="1" min="1" max="2"/>
    <col width="20.33203125" bestFit="1" customWidth="1" min="3" max="3"/>
    <col width="21.83203125" customWidth="1" min="4" max="4"/>
    <col width="17.5" customWidth="1" min="5" max="5"/>
    <col width="17.5" customWidth="1" style="9" min="6" max="6"/>
    <col width="24" customWidth="1" style="15" min="7" max="7"/>
    <col width="16.83203125" customWidth="1" min="8" max="8"/>
    <col width="18.5" customWidth="1" style="17" min="9" max="9"/>
    <col width="22.6640625" bestFit="1" customWidth="1" min="10" max="10"/>
    <col width="10.83203125" customWidth="1" style="17" min="11" max="11"/>
    <col width="13.6640625" customWidth="1" min="12" max="12"/>
    <col width="25" bestFit="1" customWidth="1" min="13" max="13"/>
    <col width="22" bestFit="1" customWidth="1" min="14" max="14"/>
    <col width="16.5" bestFit="1" customWidth="1" min="15" max="15"/>
  </cols>
  <sheetData>
    <row r="1" ht="20" customHeight="1">
      <c r="A1" s="20" t="inlineStr">
        <is>
          <t>Era</t>
        </is>
      </c>
      <c r="B1" s="20" t="inlineStr">
        <is>
          <t>Date Released</t>
        </is>
      </c>
      <c r="C1" s="20" t="inlineStr">
        <is>
          <t>Set Name</t>
        </is>
      </c>
      <c r="D1" s="20" t="inlineStr">
        <is>
          <t>BB Price - Or 4 Booster Equivalent?</t>
        </is>
      </c>
      <c r="E1" s="20" t="inlineStr">
        <is>
          <t>Set Value (GBP)</t>
        </is>
      </c>
      <c r="F1" s="21" t="inlineStr">
        <is>
          <t>Top 3 Chase Cards</t>
        </is>
      </c>
      <c r="G1" s="22" t="inlineStr">
        <is>
          <t>Box % of Set (Sort By Ascending)</t>
        </is>
      </c>
      <c r="H1" s="20" t="inlineStr">
        <is>
          <t>Investor Rating</t>
        </is>
      </c>
      <c r="I1" s="20" t="inlineStr">
        <is>
          <t>Chase Card % (Risk)</t>
        </is>
      </c>
      <c r="J1" s="20" t="inlineStr">
        <is>
          <t xml:space="preserve">Print Status </t>
        </is>
      </c>
      <c r="K1" s="20" t="inlineStr">
        <is>
          <t>Decision Matrix</t>
        </is>
      </c>
      <c r="L1" s="20" t="inlineStr">
        <is>
          <t>Scarcity (Print Status)</t>
        </is>
      </c>
      <c r="M1" s="24" t="inlineStr">
        <is>
          <t>Format Liquidity</t>
        </is>
      </c>
      <c r="N1" s="20" t="inlineStr">
        <is>
          <t>Mascot Power</t>
        </is>
      </c>
      <c r="O1" s="24" t="inlineStr">
        <is>
          <t>Set Depth</t>
        </is>
      </c>
    </row>
    <row r="2" ht="20" customHeight="1">
      <c r="A2" s="1" t="inlineStr">
        <is>
          <t>SWSH</t>
        </is>
      </c>
      <c r="B2" s="23" t="n">
        <v>42675</v>
      </c>
      <c r="C2" s="19" t="inlineStr">
        <is>
          <t>Evolutions</t>
        </is>
      </c>
      <c r="D2" s="97" t="n">
        <v>1314</v>
      </c>
      <c r="E2" s="97" t="n">
        <v>603</v>
      </c>
      <c r="F2" s="6" t="n">
        <v>174.5</v>
      </c>
      <c r="G2" s="16">
        <f>Table1[[#This Row],[BB Price - Or 4 Booster Equivalent?]]/E2</f>
        <v/>
      </c>
      <c r="H2" s="84" t="n"/>
      <c r="I2" s="10">
        <f>Table1[[#This Row],[Top 3 Chase Cards]]/Table1[[#This Row],[Set Value (GBP)]]</f>
        <v/>
      </c>
      <c r="J2" s="84" t="n"/>
      <c r="K2" s="1">
        <f>SUM(Table1[[#This Row],[Scarcity (Print Status)]:[Set Depth]])</f>
        <v/>
      </c>
      <c r="L2" s="84" t="n"/>
      <c r="M2" s="84" t="n"/>
      <c r="N2" s="62" t="n"/>
      <c r="O2" s="84" t="n"/>
    </row>
    <row r="3" ht="18" customFormat="1" customHeight="1" s="42">
      <c r="A3" s="1" t="inlineStr">
        <is>
          <t>S&amp;M</t>
        </is>
      </c>
      <c r="B3" s="23" t="n">
        <v>43132</v>
      </c>
      <c r="C3" s="19" t="inlineStr">
        <is>
          <t>Ultra Prism</t>
        </is>
      </c>
      <c r="D3" s="97" t="n">
        <v>1200</v>
      </c>
      <c r="E3" s="97" t="n">
        <v>1550</v>
      </c>
      <c r="F3" s="6" t="n">
        <v>603</v>
      </c>
      <c r="G3" s="16">
        <f>Table1[[#This Row],[BB Price - Or 4 Booster Equivalent?]]/E3</f>
        <v/>
      </c>
      <c r="H3" s="84" t="inlineStr">
        <is>
          <t>Mature / Hold</t>
        </is>
      </c>
      <c r="I3" s="10">
        <f>Table1[[#This Row],[Top 3 Chase Cards]]/Table1[[#This Row],[Set Value (GBP)]]</f>
        <v/>
      </c>
      <c r="J3" s="7" t="n"/>
      <c r="K3" s="1">
        <f>SUM(Table1[[#This Row],[Scarcity (Print Status)]:[Set Depth]])</f>
        <v/>
      </c>
      <c r="L3" s="84" t="n"/>
      <c r="M3" s="84" t="n"/>
      <c r="N3" s="84" t="n"/>
      <c r="O3" s="84" t="n"/>
    </row>
    <row r="4" ht="18" customHeight="1">
      <c r="A4" s="1" t="inlineStr">
        <is>
          <t>S&amp;M</t>
        </is>
      </c>
      <c r="B4" s="23" t="n">
        <v>43405</v>
      </c>
      <c r="C4" s="19" t="inlineStr">
        <is>
          <t>Lost Thunder</t>
        </is>
      </c>
      <c r="D4" s="97" t="n">
        <v>1177</v>
      </c>
      <c r="E4" s="97" t="n">
        <v>1654</v>
      </c>
      <c r="F4" s="6" t="n">
        <v>400</v>
      </c>
      <c r="G4" s="16">
        <f>Table1[[#This Row],[BB Price - Or 4 Booster Equivalent?]]/E4</f>
        <v/>
      </c>
      <c r="H4" s="84" t="n"/>
      <c r="I4" s="10">
        <f>Table1[[#This Row],[Top 3 Chase Cards]]/Table1[[#This Row],[Set Value (GBP)]]</f>
        <v/>
      </c>
      <c r="J4" s="7" t="n"/>
      <c r="K4" s="1">
        <f>SUM(Table1[[#This Row],[Scarcity (Print Status)]:[Set Depth]])</f>
        <v/>
      </c>
      <c r="L4" s="84" t="n"/>
      <c r="M4" s="84" t="n"/>
      <c r="N4" s="84" t="n"/>
      <c r="O4" s="84" t="n"/>
    </row>
    <row r="5" ht="18" customFormat="1" customHeight="1" s="42">
      <c r="A5" s="1" t="inlineStr">
        <is>
          <t>S&amp;M</t>
        </is>
      </c>
      <c r="B5" s="23" t="n">
        <v>43497</v>
      </c>
      <c r="C5" s="18" t="inlineStr">
        <is>
          <t>Team Up</t>
        </is>
      </c>
      <c r="D5" s="98" t="n">
        <v>7500</v>
      </c>
      <c r="E5" s="98" t="n">
        <v>7100</v>
      </c>
      <c r="F5" s="10" t="n">
        <v>3683</v>
      </c>
      <c r="G5" s="16">
        <f>Table1[[#This Row],[BB Price - Or 4 Booster Equivalent?]]/E5</f>
        <v/>
      </c>
      <c r="H5" s="1" t="inlineStr">
        <is>
          <t>BUBBLE (Sell/Trim)</t>
        </is>
      </c>
      <c r="I5" s="10">
        <f>Table1[[#This Row],[Top 3 Chase Cards]]/Table1[[#This Row],[Set Value (GBP)]]</f>
        <v/>
      </c>
      <c r="J5" s="84" t="n"/>
      <c r="K5" s="1">
        <f>SUM(Table1[[#This Row],[Scarcity (Print Status)]:[Set Depth]])</f>
        <v/>
      </c>
      <c r="L5" s="84" t="n"/>
      <c r="M5" s="84" t="n"/>
      <c r="N5" s="84" t="n"/>
      <c r="O5" s="84" t="n"/>
    </row>
    <row r="6" ht="18" customHeight="1">
      <c r="A6" s="1" t="inlineStr">
        <is>
          <t>S&amp;M</t>
        </is>
      </c>
      <c r="B6" s="23" t="n">
        <v>43586</v>
      </c>
      <c r="C6" s="19" t="inlineStr">
        <is>
          <t>Unbroken Bonds</t>
        </is>
      </c>
      <c r="D6" s="97" t="n">
        <v>1957</v>
      </c>
      <c r="E6" s="97" t="n">
        <v>2518</v>
      </c>
      <c r="F6" s="6" t="n">
        <v>767</v>
      </c>
      <c r="G6" s="16">
        <f>Table1[[#This Row],[BB Price - Or 4 Booster Equivalent?]]/E6</f>
        <v/>
      </c>
      <c r="H6" s="84" t="n"/>
      <c r="I6" s="10">
        <f>Table1[[#This Row],[Top 3 Chase Cards]]/Table1[[#This Row],[Set Value (GBP)]]</f>
        <v/>
      </c>
      <c r="J6" s="84" t="n"/>
      <c r="K6" s="1">
        <f>SUM(Table1[[#This Row],[Scarcity (Print Status)]:[Set Depth]])</f>
        <v/>
      </c>
      <c r="L6" s="84" t="n"/>
      <c r="M6" s="84" t="n"/>
      <c r="N6" s="84" t="n"/>
      <c r="O6" s="84" t="n"/>
    </row>
    <row r="7" ht="18" customHeight="1">
      <c r="A7" s="1" t="inlineStr">
        <is>
          <t>S&amp;M</t>
        </is>
      </c>
      <c r="B7" s="23" t="n">
        <v>43678</v>
      </c>
      <c r="C7" s="19" t="inlineStr">
        <is>
          <t>Unified Minds</t>
        </is>
      </c>
      <c r="D7" s="97" t="n">
        <v>2329</v>
      </c>
      <c r="E7" s="97" t="n">
        <v>2847</v>
      </c>
      <c r="F7" s="6" t="n">
        <v>742</v>
      </c>
      <c r="G7" s="16">
        <f>Table1[[#This Row],[BB Price - Or 4 Booster Equivalent?]]/E7</f>
        <v/>
      </c>
      <c r="H7" s="84" t="n"/>
      <c r="I7" s="10">
        <f>Table1[[#This Row],[Top 3 Chase Cards]]/Table1[[#This Row],[Set Value (GBP)]]</f>
        <v/>
      </c>
      <c r="J7" s="84" t="n"/>
      <c r="K7" s="1">
        <f>SUM(Table1[[#This Row],[Scarcity (Print Status)]:[Set Depth]])</f>
        <v/>
      </c>
      <c r="L7" s="84" t="n"/>
      <c r="M7" s="84" t="n"/>
      <c r="N7" s="84" t="n"/>
      <c r="O7" s="84" t="n"/>
    </row>
    <row r="8" ht="18" customHeight="1">
      <c r="A8" s="1" t="inlineStr">
        <is>
          <t>S&amp;M</t>
        </is>
      </c>
      <c r="B8" s="23" t="n">
        <v>43678</v>
      </c>
      <c r="C8" s="19" t="inlineStr">
        <is>
          <t>Hidden Fates</t>
        </is>
      </c>
      <c r="D8" s="97" t="n">
        <v>2000</v>
      </c>
      <c r="E8" s="97" t="n">
        <v>1811</v>
      </c>
      <c r="F8" s="6" t="n">
        <v>925</v>
      </c>
      <c r="G8" s="16">
        <f>Table1[[#This Row],[BB Price - Or 4 Booster Equivalent?]]/E8</f>
        <v/>
      </c>
      <c r="H8" s="84" t="n"/>
      <c r="I8" s="10">
        <f>Table1[[#This Row],[Top 3 Chase Cards]]/Table1[[#This Row],[Set Value (GBP)]]</f>
        <v/>
      </c>
      <c r="J8" s="84" t="n"/>
      <c r="K8" s="1">
        <f>SUM(Table1[[#This Row],[Scarcity (Print Status)]:[Set Depth]])</f>
        <v/>
      </c>
      <c r="L8" s="84" t="n"/>
      <c r="M8" s="84" t="n"/>
      <c r="N8" s="84" t="n"/>
      <c r="O8" s="84" t="n"/>
    </row>
    <row r="9" ht="18" customHeight="1">
      <c r="A9" s="1" t="inlineStr">
        <is>
          <t>S&amp;M</t>
        </is>
      </c>
      <c r="B9" s="23" t="n">
        <v>43770</v>
      </c>
      <c r="C9" s="19" t="inlineStr">
        <is>
          <t>Cosmic Eclipse</t>
        </is>
      </c>
      <c r="D9" s="97" t="n">
        <v>3150</v>
      </c>
      <c r="E9" s="97" t="n">
        <v>4200</v>
      </c>
      <c r="F9" s="6" t="n">
        <v>916</v>
      </c>
      <c r="G9" s="16">
        <f>Table1[[#This Row],[BB Price - Or 4 Booster Equivalent?]]/E9</f>
        <v/>
      </c>
      <c r="H9" s="84" t="inlineStr">
        <is>
          <t>Mature / Hold</t>
        </is>
      </c>
      <c r="I9" s="10">
        <f>Table1[[#This Row],[Top 3 Chase Cards]]/Table1[[#This Row],[Set Value (GBP)]]</f>
        <v/>
      </c>
      <c r="J9" s="84" t="n"/>
      <c r="K9" s="1">
        <f>SUM(Table1[[#This Row],[Scarcity (Print Status)]:[Set Depth]])</f>
        <v/>
      </c>
      <c r="L9" s="84" t="n"/>
      <c r="M9" s="84" t="n"/>
      <c r="N9" s="84" t="n"/>
      <c r="O9" s="84" t="n"/>
    </row>
    <row r="10" ht="18" customHeight="1">
      <c r="A10" s="1" t="inlineStr">
        <is>
          <t>SWSH</t>
        </is>
      </c>
      <c r="B10" s="23" t="n">
        <v>43952</v>
      </c>
      <c r="C10" s="19" t="inlineStr">
        <is>
          <t>Rebel Clash</t>
        </is>
      </c>
      <c r="D10" s="97" t="n">
        <v>590</v>
      </c>
      <c r="E10" s="97" t="n">
        <v>478</v>
      </c>
      <c r="F10" s="6" t="n">
        <v>110</v>
      </c>
      <c r="G10" s="16">
        <f>Table1[[#This Row],[BB Price - Or 4 Booster Equivalent?]]/E10</f>
        <v/>
      </c>
      <c r="H10" s="84" t="n"/>
      <c r="I10" s="10">
        <f>Table1[[#This Row],[Top 3 Chase Cards]]/Table1[[#This Row],[Set Value (GBP)]]</f>
        <v/>
      </c>
      <c r="J10" s="84" t="n"/>
      <c r="K10" s="1">
        <f>SUM(Table1[[#This Row],[Scarcity (Print Status)]:[Set Depth]])</f>
        <v/>
      </c>
      <c r="L10" s="84" t="n"/>
      <c r="M10" s="84" t="n"/>
      <c r="N10" s="84" t="n"/>
      <c r="O10" s="84" t="n"/>
    </row>
    <row r="11" ht="18" customFormat="1" customHeight="1" s="51">
      <c r="A11" s="1" t="inlineStr">
        <is>
          <t>SWSH</t>
        </is>
      </c>
      <c r="B11" s="23" t="n">
        <v>44044</v>
      </c>
      <c r="C11" s="19" t="inlineStr">
        <is>
          <t>Darkness Ablaze</t>
        </is>
      </c>
      <c r="D11" s="97" t="n">
        <v>240</v>
      </c>
      <c r="E11" s="97" t="n">
        <v>193</v>
      </c>
      <c r="F11" s="6" t="n">
        <v>50</v>
      </c>
      <c r="G11" s="16">
        <f>Table1[[#This Row],[BB Price - Or 4 Booster Equivalent?]]/E11</f>
        <v/>
      </c>
      <c r="H11" s="84" t="n"/>
      <c r="I11" s="10">
        <f>Table1[[#This Row],[Top 3 Chase Cards]]/Table1[[#This Row],[Set Value (GBP)]]</f>
        <v/>
      </c>
      <c r="J11" s="7" t="n"/>
      <c r="K11" s="1">
        <f>SUM(Table1[[#This Row],[Scarcity (Print Status)]:[Set Depth]])</f>
        <v/>
      </c>
      <c r="L11" s="84" t="n"/>
      <c r="M11" s="84" t="n"/>
      <c r="N11" s="84" t="n"/>
      <c r="O11" s="84" t="n"/>
    </row>
    <row r="12" ht="18" customFormat="1" customHeight="1" s="42">
      <c r="A12" s="1" t="inlineStr">
        <is>
          <t>SWSH</t>
        </is>
      </c>
      <c r="B12" s="23" t="n">
        <v>44075</v>
      </c>
      <c r="C12" s="19" t="inlineStr">
        <is>
          <t>Champions Path</t>
        </is>
      </c>
      <c r="D12" s="97" t="n">
        <v>800</v>
      </c>
      <c r="E12" s="97" t="n">
        <v>385</v>
      </c>
      <c r="F12" s="6" t="n">
        <v>454</v>
      </c>
      <c r="G12" s="16">
        <f>Table1[[#This Row],[BB Price - Or 4 Booster Equivalent?]]/E12</f>
        <v/>
      </c>
      <c r="H12" s="84" t="n"/>
      <c r="I12" s="10">
        <f>Table1[[#This Row],[Top 3 Chase Cards]]/Table1[[#This Row],[Set Value (GBP)]]</f>
        <v/>
      </c>
      <c r="J12" s="84" t="n"/>
      <c r="K12" s="1">
        <f>SUM(Table1[[#This Row],[Scarcity (Print Status)]:[Set Depth]])</f>
        <v/>
      </c>
      <c r="L12" s="84" t="n"/>
      <c r="M12" s="84" t="n"/>
      <c r="N12" s="84" t="n"/>
      <c r="O12" s="84" t="n"/>
    </row>
    <row r="13" ht="18" customFormat="1" customHeight="1" s="51">
      <c r="A13" s="25" t="inlineStr">
        <is>
          <t>SWSH</t>
        </is>
      </c>
      <c r="B13" s="26" t="n">
        <v>44136</v>
      </c>
      <c r="C13" s="27" t="inlineStr">
        <is>
          <t>Vivid Voltage</t>
        </is>
      </c>
      <c r="D13" s="99" t="n">
        <v>195</v>
      </c>
      <c r="E13" s="99" t="n">
        <v>333</v>
      </c>
      <c r="F13" s="29" t="n">
        <v>138</v>
      </c>
      <c r="G13" s="30">
        <f>Table1[[#This Row],[BB Price - Or 4 Booster Equivalent?]]/E13</f>
        <v/>
      </c>
      <c r="H13" s="86" t="n"/>
      <c r="I13" s="32">
        <f>Table1[[#This Row],[Top 3 Chase Cards]]/Table1[[#This Row],[Set Value (GBP)]]</f>
        <v/>
      </c>
      <c r="J13" s="86" t="n"/>
      <c r="K13" s="25">
        <f>SUM(Table1[[#This Row],[Scarcity (Print Status)]:[Set Depth]])</f>
        <v/>
      </c>
      <c r="L13" s="86" t="n">
        <v>5</v>
      </c>
      <c r="M13" s="86" t="n">
        <v>5</v>
      </c>
      <c r="N13" s="86" t="n">
        <v>3</v>
      </c>
      <c r="O13" s="86" t="n">
        <v>1</v>
      </c>
    </row>
    <row r="14" ht="18" customHeight="1">
      <c r="A14" s="1" t="inlineStr">
        <is>
          <t>SWSH</t>
        </is>
      </c>
      <c r="B14" s="23" t="n">
        <v>44228</v>
      </c>
      <c r="C14" s="19" t="inlineStr">
        <is>
          <t>Shining Fates</t>
        </is>
      </c>
      <c r="D14" s="97" t="n">
        <v>512</v>
      </c>
      <c r="E14" s="97" t="n">
        <v>375</v>
      </c>
      <c r="F14" s="6" t="n">
        <v>431</v>
      </c>
      <c r="G14" s="16">
        <f>Table1[[#This Row],[BB Price - Or 4 Booster Equivalent?]]/E14</f>
        <v/>
      </c>
      <c r="H14" s="84" t="n"/>
      <c r="I14" s="10">
        <f>Table1[[#This Row],[Top 3 Chase Cards]]/Table1[[#This Row],[Set Value (GBP)]]</f>
        <v/>
      </c>
      <c r="J14" s="84" t="n"/>
      <c r="K14" s="1">
        <f>SUM(Table1[[#This Row],[Scarcity (Print Status)]:[Set Depth]])</f>
        <v/>
      </c>
      <c r="L14" s="84" t="n"/>
      <c r="M14" s="84" t="n"/>
      <c r="N14" s="84" t="n"/>
      <c r="O14" s="84" t="n"/>
    </row>
    <row r="15" ht="18" customFormat="1" customHeight="1" s="60">
      <c r="A15" s="34" t="inlineStr">
        <is>
          <t>SWSH</t>
        </is>
      </c>
      <c r="B15" s="35" t="n">
        <v>44348</v>
      </c>
      <c r="C15" s="36" t="inlineStr">
        <is>
          <t>Chilling Reign</t>
        </is>
      </c>
      <c r="D15" s="100" t="n">
        <v>550</v>
      </c>
      <c r="E15" s="100" t="n">
        <v>1050</v>
      </c>
      <c r="F15" s="38" t="n">
        <v>470</v>
      </c>
      <c r="G15" s="39">
        <f>Table1[[#This Row],[BB Price - Or 4 Booster Equivalent?]]/E15</f>
        <v/>
      </c>
      <c r="H15" s="40" t="inlineStr">
        <is>
          <t>Fair Value</t>
        </is>
      </c>
      <c r="I15" s="41">
        <f>Table1[[#This Row],[Top 3 Chase Cards]]/Table1[[#This Row],[Set Value (GBP)]]</f>
        <v/>
      </c>
      <c r="J15" s="40" t="n"/>
      <c r="K15" s="34">
        <f>SUM(Table1[[#This Row],[Scarcity (Print Status)]:[Set Depth]])</f>
        <v/>
      </c>
      <c r="L15" s="40" t="n"/>
      <c r="M15" s="40" t="n"/>
      <c r="N15" s="40" t="n"/>
      <c r="O15" s="40" t="n"/>
    </row>
    <row r="16" ht="18" customHeight="1">
      <c r="A16" s="1" t="inlineStr">
        <is>
          <t>SWSH</t>
        </is>
      </c>
      <c r="B16" s="23" t="n">
        <v>44409</v>
      </c>
      <c r="C16" s="19" t="inlineStr">
        <is>
          <t>Evolving Skies</t>
        </is>
      </c>
      <c r="D16" s="97" t="n">
        <v>1750</v>
      </c>
      <c r="E16" s="97" t="n">
        <v>3050</v>
      </c>
      <c r="F16" s="6" t="n">
        <v>2096</v>
      </c>
      <c r="G16" s="16">
        <f>Table1[[#This Row],[BB Price - Or 4 Booster Equivalent?]]/E16</f>
        <v/>
      </c>
      <c r="H16" s="1" t="inlineStr">
        <is>
          <t>BLUE CHIP (Core Hold)</t>
        </is>
      </c>
      <c r="I16" s="10">
        <f>Table1[[#This Row],[Top 3 Chase Cards]]/Table1[[#This Row],[Set Value (GBP)]]</f>
        <v/>
      </c>
      <c r="J16" s="84" t="inlineStr">
        <is>
          <t>Long-Term OOP</t>
        </is>
      </c>
      <c r="K16" s="1">
        <f>SUM(Table1[[#This Row],[Scarcity (Print Status)]:[Set Depth]])</f>
        <v/>
      </c>
      <c r="L16" s="84" t="n">
        <v>5</v>
      </c>
      <c r="M16" s="84" t="n">
        <v>5</v>
      </c>
      <c r="N16" s="84" t="n">
        <v>5</v>
      </c>
      <c r="O16" s="84" t="n">
        <v>5</v>
      </c>
    </row>
    <row r="17" ht="18" customFormat="1" customHeight="1" s="33">
      <c r="A17" s="34" t="inlineStr">
        <is>
          <t>SWSH</t>
        </is>
      </c>
      <c r="B17" s="35" t="n">
        <v>44470</v>
      </c>
      <c r="C17" s="36" t="inlineStr">
        <is>
          <t>Celebrations 25th</t>
        </is>
      </c>
      <c r="D17" s="100" t="n">
        <v>1120</v>
      </c>
      <c r="E17" s="100" t="n">
        <v>560</v>
      </c>
      <c r="F17" s="38" t="n">
        <v>289</v>
      </c>
      <c r="G17" s="39">
        <f>Table1[[#This Row],[BB Price - Or 4 Booster Equivalent?]]/E17</f>
        <v/>
      </c>
      <c r="H17" s="40" t="n"/>
      <c r="I17" s="41">
        <f>Table1[[#This Row],[Top 3 Chase Cards]]/Table1[[#This Row],[Set Value (GBP)]]</f>
        <v/>
      </c>
      <c r="J17" s="40" t="n"/>
      <c r="K17" s="34">
        <f>SUM(Table1[[#This Row],[Scarcity (Print Status)]:[Set Depth]])</f>
        <v/>
      </c>
      <c r="L17" s="40" t="n"/>
      <c r="M17" s="40" t="n"/>
      <c r="N17" s="40" t="n"/>
      <c r="O17" s="40" t="n"/>
    </row>
    <row r="18" ht="18" customFormat="1" customHeight="1" s="60">
      <c r="A18" s="1" t="inlineStr">
        <is>
          <t>SWSH</t>
        </is>
      </c>
      <c r="B18" s="23" t="n">
        <v>44501</v>
      </c>
      <c r="C18" s="19" t="inlineStr">
        <is>
          <t>Fusion Strike</t>
        </is>
      </c>
      <c r="D18" s="97" t="n">
        <v>795</v>
      </c>
      <c r="E18" s="97" t="n">
        <v>1150</v>
      </c>
      <c r="F18" s="6" t="n">
        <v>900</v>
      </c>
      <c r="G18" s="16">
        <f>Table1[[#This Row],[BB Price - Or 4 Booster Equivalent?]]/E18</f>
        <v/>
      </c>
      <c r="H18" s="84" t="inlineStr">
        <is>
          <t>Hold / Take Profits</t>
        </is>
      </c>
      <c r="I18" s="10">
        <f>Table1[[#This Row],[Top 3 Chase Cards]]/Table1[[#This Row],[Set Value (GBP)]]</f>
        <v/>
      </c>
      <c r="J18" s="84" t="n"/>
      <c r="K18" s="1">
        <f>SUM(Table1[[#This Row],[Scarcity (Print Status)]:[Set Depth]])</f>
        <v/>
      </c>
      <c r="L18" s="84" t="n"/>
      <c r="M18" s="84" t="n"/>
      <c r="N18" s="84" t="n"/>
      <c r="O18" s="84" t="n"/>
    </row>
    <row r="19" ht="18" customFormat="1" customHeight="1" s="80">
      <c r="A19" s="34" t="inlineStr">
        <is>
          <t>SWSH</t>
        </is>
      </c>
      <c r="B19" s="35" t="n">
        <v>44593</v>
      </c>
      <c r="C19" s="36" t="inlineStr">
        <is>
          <t>Brilliant Stars</t>
        </is>
      </c>
      <c r="D19" s="100" t="n">
        <v>419</v>
      </c>
      <c r="E19" s="100" t="n">
        <v>490</v>
      </c>
      <c r="F19" s="38" t="n">
        <v>262</v>
      </c>
      <c r="G19" s="39">
        <f>Table1[[#This Row],[BB Price - Or 4 Booster Equivalent?]]/E19</f>
        <v/>
      </c>
      <c r="H19" s="40" t="n"/>
      <c r="I19" s="41">
        <f>Table1[[#This Row],[Top 3 Chase Cards]]/Table1[[#This Row],[Set Value (GBP)]]</f>
        <v/>
      </c>
      <c r="J19" s="40" t="n"/>
      <c r="K19" s="34">
        <f>SUM(Table1[[#This Row],[Scarcity (Print Status)]:[Set Depth]])</f>
        <v/>
      </c>
      <c r="L19" s="40" t="n"/>
      <c r="M19" s="40" t="n"/>
      <c r="N19" s="40" t="n"/>
      <c r="O19" s="40" t="n"/>
    </row>
    <row r="20" ht="18" customHeight="1">
      <c r="A20" s="52" t="inlineStr">
        <is>
          <t>SWSH</t>
        </is>
      </c>
      <c r="B20" s="53" t="n">
        <v>44682</v>
      </c>
      <c r="C20" s="54" t="inlineStr">
        <is>
          <t>Astral Radiance</t>
        </is>
      </c>
      <c r="D20" s="101" t="n">
        <v>285</v>
      </c>
      <c r="E20" s="101" t="n">
        <v>742</v>
      </c>
      <c r="F20" s="56" t="n">
        <v>230</v>
      </c>
      <c r="G20" s="57">
        <f>Table1[[#This Row],[BB Price - Or 4 Booster Equivalent?]]/E20</f>
        <v/>
      </c>
      <c r="H20" s="58" t="n"/>
      <c r="I20" s="59">
        <f>Table1[[#This Row],[Top 3 Chase Cards]]/Table1[[#This Row],[Set Value (GBP)]]</f>
        <v/>
      </c>
      <c r="J20" s="58" t="n"/>
      <c r="K20" s="52">
        <f>SUM(Table1[[#This Row],[Scarcity (Print Status)]:[Set Depth]])</f>
        <v/>
      </c>
      <c r="L20" s="58" t="n"/>
      <c r="M20" s="58" t="n"/>
      <c r="N20" s="58" t="n"/>
      <c r="O20" s="58" t="n"/>
    </row>
    <row r="21" ht="18" customFormat="1" customHeight="1" s="33">
      <c r="A21" s="34" t="inlineStr">
        <is>
          <t>SWSH</t>
        </is>
      </c>
      <c r="B21" s="35" t="n">
        <v>44805</v>
      </c>
      <c r="C21" s="36" t="inlineStr">
        <is>
          <t>Lost Origin</t>
        </is>
      </c>
      <c r="D21" s="100" t="n">
        <v>521</v>
      </c>
      <c r="E21" s="100" t="n">
        <v>816</v>
      </c>
      <c r="F21" s="38" t="n">
        <v>621</v>
      </c>
      <c r="G21" s="39">
        <f>Table1[[#This Row],[BB Price - Or 4 Booster Equivalent?]]/E21</f>
        <v/>
      </c>
      <c r="H21" s="40" t="n"/>
      <c r="I21" s="41">
        <f>Table1[[#This Row],[Top 3 Chase Cards]]/Table1[[#This Row],[Set Value (GBP)]]</f>
        <v/>
      </c>
      <c r="J21" s="40" t="n"/>
      <c r="K21" s="34">
        <f>SUM(Table1[[#This Row],[Scarcity (Print Status)]:[Set Depth]])</f>
        <v/>
      </c>
      <c r="L21" s="40" t="n"/>
      <c r="M21" s="40" t="n"/>
      <c r="N21" s="40" t="n"/>
      <c r="O21" s="40" t="n"/>
    </row>
    <row r="22" ht="18" customFormat="1" customHeight="1" s="42">
      <c r="A22" s="34" t="inlineStr">
        <is>
          <t>SWSH</t>
        </is>
      </c>
      <c r="B22" s="35" t="n">
        <v>44866</v>
      </c>
      <c r="C22" s="36" t="inlineStr">
        <is>
          <t>Silver Tempest</t>
        </is>
      </c>
      <c r="D22" s="100" t="n">
        <v>350</v>
      </c>
      <c r="E22" s="100" t="n">
        <v>540</v>
      </c>
      <c r="F22" s="38" t="n">
        <v>300</v>
      </c>
      <c r="G22" s="39">
        <f>Table1[[#This Row],[BB Price - Or 4 Booster Equivalent?]]/E22</f>
        <v/>
      </c>
      <c r="H22" s="40" t="n"/>
      <c r="I22" s="41">
        <f>Table1[[#This Row],[Top 3 Chase Cards]]/Table1[[#This Row],[Set Value (GBP)]]</f>
        <v/>
      </c>
      <c r="J22" s="40" t="n"/>
      <c r="K22" s="34">
        <f>SUM(Table1[[#This Row],[Scarcity (Print Status)]:[Set Depth]])</f>
        <v/>
      </c>
      <c r="L22" s="40" t="n"/>
      <c r="M22" s="40" t="n"/>
      <c r="N22" s="40" t="n"/>
      <c r="O22" s="40" t="n"/>
    </row>
    <row r="23" ht="18" customFormat="1" customHeight="1" s="42">
      <c r="A23" s="34" t="inlineStr">
        <is>
          <t>SWSH</t>
        </is>
      </c>
      <c r="B23" s="35" t="n">
        <v>44927</v>
      </c>
      <c r="C23" s="36" t="inlineStr">
        <is>
          <t>Crown Zenith</t>
        </is>
      </c>
      <c r="D23" s="100" t="n">
        <v>984</v>
      </c>
      <c r="E23" s="100" t="n">
        <v>1720</v>
      </c>
      <c r="F23" s="38" t="n">
        <v>514</v>
      </c>
      <c r="G23" s="39">
        <f>Table1[[#This Row],[BB Price - Or 4 Booster Equivalent?]]/E23</f>
        <v/>
      </c>
      <c r="H23" s="40" t="n"/>
      <c r="I23" s="41">
        <f>Table1[[#This Row],[Top 3 Chase Cards]]/Table1[[#This Row],[Set Value (GBP)]]</f>
        <v/>
      </c>
      <c r="J23" s="40" t="n"/>
      <c r="K23" s="34">
        <f>SUM(Table1[[#This Row],[Scarcity (Print Status)]:[Set Depth]])</f>
        <v/>
      </c>
      <c r="L23" s="40" t="n"/>
      <c r="M23" s="40" t="n"/>
      <c r="N23" s="40" t="n"/>
      <c r="O23" s="40" t="n"/>
    </row>
    <row r="24" ht="18" customHeight="1">
      <c r="A24" s="52" t="inlineStr">
        <is>
          <t>S&amp;V</t>
        </is>
      </c>
      <c r="B24" s="53" t="n">
        <v>44986</v>
      </c>
      <c r="C24" s="54" t="inlineStr">
        <is>
          <t>S&amp;V Base set</t>
        </is>
      </c>
      <c r="D24" s="101" t="n">
        <v>198</v>
      </c>
      <c r="E24" s="101" t="n">
        <v>429</v>
      </c>
      <c r="F24" s="56" t="n">
        <v>90</v>
      </c>
      <c r="G24" s="57">
        <f>Table1[[#This Row],[BB Price - Or 4 Booster Equivalent?]]/E24</f>
        <v/>
      </c>
      <c r="H24" s="58" t="n"/>
      <c r="I24" s="59">
        <f>Table1[[#This Row],[Top 3 Chase Cards]]/Table1[[#This Row],[Set Value (GBP)]]</f>
        <v/>
      </c>
      <c r="J24" s="58" t="inlineStr">
        <is>
          <t>Printing Till Sprint 2026</t>
        </is>
      </c>
      <c r="K24" s="52">
        <f>SUM(Table1[[#This Row],[Scarcity (Print Status)]:[Set Depth]])</f>
        <v/>
      </c>
      <c r="L24" s="58" t="n"/>
      <c r="M24" s="58" t="n"/>
      <c r="N24" s="58" t="n"/>
      <c r="O24" s="58" t="n"/>
    </row>
    <row r="25" ht="18" customHeight="1">
      <c r="A25" s="34" t="inlineStr">
        <is>
          <t>S&amp;V</t>
        </is>
      </c>
      <c r="B25" s="35" t="n">
        <v>45078</v>
      </c>
      <c r="C25" s="36" t="inlineStr">
        <is>
          <t>Paldea Evolved</t>
        </is>
      </c>
      <c r="D25" s="100" t="n">
        <v>320</v>
      </c>
      <c r="E25" s="100" t="n">
        <v>960</v>
      </c>
      <c r="F25" s="38" t="n">
        <v>300</v>
      </c>
      <c r="G25" s="39">
        <f>Table1[[#This Row],[BB Price - Or 4 Booster Equivalent?]]/E25</f>
        <v/>
      </c>
      <c r="H25" s="40" t="n"/>
      <c r="I25" s="41">
        <f>Table1[[#This Row],[Top 3 Chase Cards]]/Table1[[#This Row],[Set Value (GBP)]]</f>
        <v/>
      </c>
      <c r="J25" s="40" t="inlineStr">
        <is>
          <t>Printing Till Sprint 2026</t>
        </is>
      </c>
      <c r="K25" s="34">
        <f>SUM(Table1[[#This Row],[Scarcity (Print Status)]:[Set Depth]])</f>
        <v/>
      </c>
      <c r="L25" s="40" t="n">
        <v>4</v>
      </c>
      <c r="M25" s="40" t="n"/>
      <c r="N25" s="40" t="n"/>
      <c r="O25" s="40" t="n"/>
    </row>
    <row r="26" ht="18" customHeight="1">
      <c r="A26" s="25" t="inlineStr">
        <is>
          <t>S&amp;V</t>
        </is>
      </c>
      <c r="B26" s="26" t="n">
        <v>45139</v>
      </c>
      <c r="C26" s="27" t="inlineStr">
        <is>
          <t>Obsidian Flames</t>
        </is>
      </c>
      <c r="D26" s="99" t="n">
        <v>110</v>
      </c>
      <c r="E26" s="99" t="n">
        <v>266</v>
      </c>
      <c r="F26" s="29" t="n">
        <v>97.92</v>
      </c>
      <c r="G26" s="30">
        <f>Table1[[#This Row],[BB Price - Or 4 Booster Equivalent?]]/E26</f>
        <v/>
      </c>
      <c r="H26" s="25" t="inlineStr">
        <is>
          <t>AVOID (Peak Hype)</t>
        </is>
      </c>
      <c r="I26" s="32">
        <f>Table1[[#This Row],[Top 3 Chase Cards]]/Table1[[#This Row],[Set Value (GBP)]]</f>
        <v/>
      </c>
      <c r="J26" s="86" t="inlineStr">
        <is>
          <t>Printing Till Sprint 2026</t>
        </is>
      </c>
      <c r="K26" s="25">
        <f>SUM(Table1[[#This Row],[Scarcity (Print Status)]:[Set Depth]])</f>
        <v/>
      </c>
      <c r="L26" s="86" t="n"/>
      <c r="M26" s="86" t="n"/>
      <c r="N26" s="86" t="n"/>
      <c r="O26" s="86" t="n"/>
    </row>
    <row r="27" ht="18" customHeight="1">
      <c r="A27" s="72" t="inlineStr">
        <is>
          <t>S&amp;V</t>
        </is>
      </c>
      <c r="B27" s="73" t="n">
        <v>45170</v>
      </c>
      <c r="C27" s="74" t="n">
        <v>151</v>
      </c>
      <c r="D27" s="102" t="n">
        <v>520</v>
      </c>
      <c r="E27" s="102" t="n">
        <v>1053</v>
      </c>
      <c r="F27" s="76" t="n">
        <v>317</v>
      </c>
      <c r="G27" s="77">
        <f>Table1[[#This Row],[BB Price - Or 4 Booster Equivalent?]]/E27</f>
        <v/>
      </c>
      <c r="H27" s="78" t="n"/>
      <c r="I27" s="79">
        <f>Table1[[#This Row],[Top 3 Chase Cards]]/Table1[[#This Row],[Set Value (GBP)]]</f>
        <v/>
      </c>
      <c r="J27" s="78" t="inlineStr">
        <is>
          <t>Printing Till Sprint 2026</t>
        </is>
      </c>
      <c r="K27" s="72">
        <f>SUM(Table1[[#This Row],[Scarcity (Print Status)]:[Set Depth]])</f>
        <v/>
      </c>
      <c r="L27" s="78" t="n"/>
      <c r="M27" s="78" t="n"/>
      <c r="N27" s="78" t="n"/>
      <c r="O27" s="78" t="n"/>
    </row>
    <row r="28" ht="18" customHeight="1">
      <c r="A28" s="43" t="inlineStr">
        <is>
          <t>S&amp;V</t>
        </is>
      </c>
      <c r="B28" s="44" t="n">
        <v>45231</v>
      </c>
      <c r="C28" s="45" t="inlineStr">
        <is>
          <t>Paradox Rift</t>
        </is>
      </c>
      <c r="D28" s="103" t="n">
        <v>189</v>
      </c>
      <c r="E28" s="103" t="n">
        <v>605</v>
      </c>
      <c r="F28" s="47" t="n">
        <v>106</v>
      </c>
      <c r="G28" s="48">
        <f>Table1[[#This Row],[BB Price - Or 4 Booster Equivalent?]]/E28</f>
        <v/>
      </c>
      <c r="H28" s="49" t="inlineStr">
        <is>
          <t>Value Sleeper</t>
        </is>
      </c>
      <c r="I28" s="50">
        <f>Table1[[#This Row],[Top 3 Chase Cards]]/Table1[[#This Row],[Set Value (GBP)]]</f>
        <v/>
      </c>
      <c r="J28" s="49" t="inlineStr">
        <is>
          <t>Printing Till Sprint 2026</t>
        </is>
      </c>
      <c r="K28" s="43">
        <f>SUM(Table1[[#This Row],[Scarcity (Print Status)]:[Set Depth]])</f>
        <v/>
      </c>
      <c r="L28" s="49" t="n">
        <v>4</v>
      </c>
      <c r="M28" s="49" t="n"/>
      <c r="N28" s="49" t="n"/>
      <c r="O28" s="49" t="n"/>
    </row>
    <row r="29" ht="18" customHeight="1">
      <c r="A29" s="25" t="inlineStr">
        <is>
          <t>S&amp;V</t>
        </is>
      </c>
      <c r="B29" s="26" t="n">
        <v>45292</v>
      </c>
      <c r="C29" s="27" t="inlineStr">
        <is>
          <t>Paldean Fates</t>
        </is>
      </c>
      <c r="D29" s="99" t="n">
        <v>400</v>
      </c>
      <c r="E29" s="99" t="n">
        <v>1105</v>
      </c>
      <c r="F29" s="29" t="n">
        <v>785</v>
      </c>
      <c r="G29" s="30">
        <f>Table1[[#This Row],[BB Price - Or 4 Booster Equivalent?]]/E29</f>
        <v/>
      </c>
      <c r="H29" s="86" t="n"/>
      <c r="I29" s="32">
        <f>Table1[[#This Row],[Top 3 Chase Cards]]/Table1[[#This Row],[Set Value (GBP)]]</f>
        <v/>
      </c>
      <c r="J29" s="86" t="inlineStr">
        <is>
          <t>Printing Till Sprint 2026</t>
        </is>
      </c>
      <c r="K29" s="25">
        <f>SUM(Table1[[#This Row],[Scarcity (Print Status)]:[Set Depth]])</f>
        <v/>
      </c>
      <c r="L29" s="86" t="n"/>
      <c r="M29" s="86" t="n"/>
      <c r="N29" s="86" t="n"/>
      <c r="O29" s="86" t="n"/>
    </row>
    <row r="30" ht="18" customHeight="1">
      <c r="A30" s="43" t="inlineStr">
        <is>
          <t>S&amp;V</t>
        </is>
      </c>
      <c r="B30" s="44" t="n">
        <v>45352</v>
      </c>
      <c r="C30" s="45" t="inlineStr">
        <is>
          <t>Temporal Forces</t>
        </is>
      </c>
      <c r="D30" s="103" t="n">
        <v>198</v>
      </c>
      <c r="E30" s="103" t="n">
        <v>585</v>
      </c>
      <c r="F30" s="47" t="n">
        <v>110</v>
      </c>
      <c r="G30" s="48">
        <f>Table1[[#This Row],[BB Price - Or 4 Booster Equivalent?]]/E30</f>
        <v/>
      </c>
      <c r="H30" s="49" t="n"/>
      <c r="I30" s="50">
        <f>Table1[[#This Row],[Top 3 Chase Cards]]/Table1[[#This Row],[Set Value (GBP)]]</f>
        <v/>
      </c>
      <c r="J30" s="49" t="inlineStr">
        <is>
          <t>In Print</t>
        </is>
      </c>
      <c r="K30" s="43">
        <f>SUM(Table1[[#This Row],[Scarcity (Print Status)]:[Set Depth]])</f>
        <v/>
      </c>
      <c r="L30" s="49" t="n">
        <v>4</v>
      </c>
      <c r="M30" s="49" t="n"/>
      <c r="N30" s="49" t="n"/>
      <c r="O30" s="49" t="n"/>
    </row>
    <row r="31" ht="18" customFormat="1" customHeight="1" s="33">
      <c r="A31" s="34" t="inlineStr">
        <is>
          <t>S&amp;V</t>
        </is>
      </c>
      <c r="B31" s="35" t="n">
        <v>45413</v>
      </c>
      <c r="C31" s="36" t="inlineStr">
        <is>
          <t>Twilight Masquerade</t>
        </is>
      </c>
      <c r="D31" s="100" t="n">
        <v>125</v>
      </c>
      <c r="E31" s="100" t="n">
        <v>717</v>
      </c>
      <c r="F31" s="38" t="n">
        <v>321</v>
      </c>
      <c r="G31" s="39">
        <f>Table1[[#This Row],[BB Price - Or 4 Booster Equivalent?]]/E31</f>
        <v/>
      </c>
      <c r="H31" s="40" t="inlineStr">
        <is>
          <t>Neutral</t>
        </is>
      </c>
      <c r="I31" s="41">
        <f>Table1[[#This Row],[Top 3 Chase Cards]]/Table1[[#This Row],[Set Value (GBP)]]</f>
        <v/>
      </c>
      <c r="J31" s="40" t="inlineStr">
        <is>
          <t>In Print</t>
        </is>
      </c>
      <c r="K31" s="34">
        <f>SUM(Table1[[#This Row],[Scarcity (Print Status)]:[Set Depth]])</f>
        <v/>
      </c>
      <c r="L31" s="40" t="n">
        <v>2</v>
      </c>
      <c r="M31" s="40" t="n"/>
      <c r="N31" s="40" t="n"/>
      <c r="O31" s="40" t="n"/>
    </row>
    <row r="32" ht="18" customFormat="1" customHeight="1" s="42">
      <c r="A32" s="25" t="inlineStr">
        <is>
          <t>S&amp;V</t>
        </is>
      </c>
      <c r="B32" s="26" t="n">
        <v>45505</v>
      </c>
      <c r="C32" s="27" t="inlineStr">
        <is>
          <t xml:space="preserve">Shrouded Fable </t>
        </is>
      </c>
      <c r="D32" s="99" t="n">
        <v>259.25</v>
      </c>
      <c r="E32" s="99" t="n">
        <v>305</v>
      </c>
      <c r="F32" s="29" t="n">
        <v>123</v>
      </c>
      <c r="G32" s="30">
        <f>Table1[[#This Row],[BB Price - Or 4 Booster Equivalent?]]/E32</f>
        <v/>
      </c>
      <c r="H32" s="86" t="n"/>
      <c r="I32" s="32">
        <f>Table1[[#This Row],[Top 3 Chase Cards]]/Table1[[#This Row],[Set Value (GBP)]]</f>
        <v/>
      </c>
      <c r="J32" s="64" t="inlineStr">
        <is>
          <t>In Print</t>
        </is>
      </c>
      <c r="K32" s="25">
        <f>SUM(Table1[[#This Row],[Scarcity (Print Status)]:[Set Depth]])</f>
        <v/>
      </c>
      <c r="L32" s="86" t="n"/>
      <c r="M32" s="86" t="n"/>
      <c r="N32" s="86" t="n"/>
      <c r="O32" s="86" t="n"/>
    </row>
    <row r="33" ht="18" customFormat="1" customHeight="1" s="42">
      <c r="A33" s="1" t="inlineStr">
        <is>
          <t>S&amp;V</t>
        </is>
      </c>
      <c r="B33" s="23" t="n">
        <v>45536</v>
      </c>
      <c r="C33" s="19" t="inlineStr">
        <is>
          <t>Stellar Crown</t>
        </is>
      </c>
      <c r="D33" s="97" t="n">
        <v>110</v>
      </c>
      <c r="E33" s="97" t="n">
        <v>165</v>
      </c>
      <c r="F33" s="6" t="n">
        <v>122</v>
      </c>
      <c r="G33" s="16">
        <f>Table1[[#This Row],[BB Price - Or 4 Booster Equivalent?]]/E33</f>
        <v/>
      </c>
      <c r="H33" s="84" t="inlineStr">
        <is>
          <t>Overvalued (Avoid)</t>
        </is>
      </c>
      <c r="I33" s="10">
        <f>Table1[[#This Row],[Top 3 Chase Cards]]/Table1[[#This Row],[Set Value (GBP)]]</f>
        <v/>
      </c>
      <c r="J33" s="84" t="inlineStr">
        <is>
          <t>In Print</t>
        </is>
      </c>
      <c r="K33" s="1">
        <f>SUM(Table1[[#This Row],[Scarcity (Print Status)]:[Set Depth]])</f>
        <v/>
      </c>
      <c r="L33" s="84" t="n"/>
      <c r="M33" s="84" t="n"/>
      <c r="N33" s="84" t="n"/>
      <c r="O33" s="84" t="n"/>
    </row>
    <row r="34" ht="18" customHeight="1">
      <c r="A34" s="1" t="inlineStr">
        <is>
          <t>S&amp;V</t>
        </is>
      </c>
      <c r="B34" s="23" t="n">
        <v>45597</v>
      </c>
      <c r="C34" s="19" t="inlineStr">
        <is>
          <t>Surging Sparks</t>
        </is>
      </c>
      <c r="D34" s="97" t="n">
        <v>200</v>
      </c>
      <c r="E34" s="97" t="n">
        <v>725</v>
      </c>
      <c r="F34" s="6" t="n">
        <v>372</v>
      </c>
      <c r="G34" s="16">
        <f>Table1[[#This Row],[BB Price - Or 4 Booster Equivalent?]]/E34</f>
        <v/>
      </c>
      <c r="H34" s="84" t="inlineStr">
        <is>
          <t>Buy on Dips</t>
        </is>
      </c>
      <c r="I34" s="10">
        <f>Table1[[#This Row],[Top 3 Chase Cards]]/Table1[[#This Row],[Set Value (GBP)]]</f>
        <v/>
      </c>
      <c r="J34" s="84" t="inlineStr">
        <is>
          <t>In Print</t>
        </is>
      </c>
      <c r="K34" s="1">
        <f>SUM(Table1[[#This Row],[Scarcity (Print Status)]:[Set Depth]])</f>
        <v/>
      </c>
      <c r="L34" s="84" t="n">
        <v>3</v>
      </c>
      <c r="M34" s="84" t="n"/>
      <c r="N34" s="84" t="n"/>
      <c r="O34" s="84" t="n"/>
    </row>
    <row r="35" ht="18" customHeight="1">
      <c r="A35" s="34" t="inlineStr">
        <is>
          <t>S&amp;V</t>
        </is>
      </c>
      <c r="B35" s="35" t="n">
        <v>45658</v>
      </c>
      <c r="C35" s="36" t="inlineStr">
        <is>
          <t>Prismatic Evolutions</t>
        </is>
      </c>
      <c r="D35" s="100" t="n">
        <v>405</v>
      </c>
      <c r="E35" s="100" t="n">
        <v>4095</v>
      </c>
      <c r="F35" s="38" t="n">
        <v>1550</v>
      </c>
      <c r="G35" s="39">
        <f>Table1[[#This Row],[BB Price - Or 4 Booster Equivalent?]]/E35</f>
        <v/>
      </c>
      <c r="H35" s="40" t="n"/>
      <c r="I35" s="41">
        <f>Table1[[#This Row],[Top 3 Chase Cards]]/Table1[[#This Row],[Set Value (GBP)]]</f>
        <v/>
      </c>
      <c r="J35" s="40" t="n"/>
      <c r="K35" s="34">
        <f>SUM(Table1[[#This Row],[Scarcity (Print Status)]:[Set Depth]])</f>
        <v/>
      </c>
      <c r="L35" s="40" t="n">
        <v>2</v>
      </c>
      <c r="M35" s="40" t="n">
        <v>2</v>
      </c>
      <c r="N35" s="40" t="n">
        <v>5</v>
      </c>
      <c r="O35" s="40" t="n">
        <v>5</v>
      </c>
    </row>
    <row r="36" ht="18" customHeight="1">
      <c r="A36" s="1" t="inlineStr">
        <is>
          <t>S&amp;V</t>
        </is>
      </c>
      <c r="B36" s="23" t="n">
        <v>45717</v>
      </c>
      <c r="C36" s="19" t="inlineStr">
        <is>
          <t>Journey Together</t>
        </is>
      </c>
      <c r="D36" s="97" t="n">
        <v>180</v>
      </c>
      <c r="E36" s="97" t="n">
        <v>400</v>
      </c>
      <c r="F36" s="6" t="n">
        <v>182</v>
      </c>
      <c r="G36" s="16">
        <f>Table1[[#This Row],[BB Price - Or 4 Booster Equivalent?]]/E36</f>
        <v/>
      </c>
      <c r="H36" s="84" t="n"/>
      <c r="I36" s="10">
        <f>Table1[[#This Row],[Top 3 Chase Cards]]/Table1[[#This Row],[Set Value (GBP)]]</f>
        <v/>
      </c>
      <c r="J36" s="84" t="n"/>
      <c r="K36" s="1">
        <f>SUM(Table1[[#This Row],[Scarcity (Print Status)]:[Set Depth]])</f>
        <v/>
      </c>
      <c r="L36" s="84" t="n"/>
      <c r="M36" s="84" t="n"/>
      <c r="N36" s="84" t="n"/>
      <c r="O36" s="84" t="n"/>
    </row>
    <row r="37" ht="18" customHeight="1">
      <c r="A37" s="1" t="inlineStr">
        <is>
          <t>S&amp;V</t>
        </is>
      </c>
      <c r="B37" s="23" t="n">
        <v>45778</v>
      </c>
      <c r="C37" s="18" t="inlineStr">
        <is>
          <t>Destined Rivals</t>
        </is>
      </c>
      <c r="D37" s="98" t="n">
        <v>310</v>
      </c>
      <c r="E37" s="98" t="n">
        <v>1010</v>
      </c>
      <c r="F37" s="10" t="n">
        <v>550</v>
      </c>
      <c r="G37" s="16">
        <f>Table1[[#This Row],[BB Price - Or 4 Booster Equivalent?]]/E37</f>
        <v/>
      </c>
      <c r="H37" s="1" t="inlineStr">
        <is>
          <t>ACCUMULATE</t>
        </is>
      </c>
      <c r="I37" s="10">
        <f>Table1[[#This Row],[Top 3 Chase Cards]]/Table1[[#This Row],[Set Value (GBP)]]</f>
        <v/>
      </c>
      <c r="J37" s="84" t="n"/>
      <c r="K37" s="1">
        <f>SUM(Table1[[#This Row],[Scarcity (Print Status)]:[Set Depth]])</f>
        <v/>
      </c>
      <c r="L37" s="84" t="n">
        <v>4</v>
      </c>
      <c r="M37" s="84" t="n">
        <v>5</v>
      </c>
      <c r="N37" s="84" t="n">
        <v>5</v>
      </c>
      <c r="O37" s="84" t="n">
        <v>5</v>
      </c>
    </row>
    <row r="38" ht="18" customHeight="1">
      <c r="A38" s="1" t="inlineStr">
        <is>
          <t xml:space="preserve">S&amp;V </t>
        </is>
      </c>
      <c r="B38" s="23" t="n">
        <v>45839</v>
      </c>
      <c r="C38" s="19" t="inlineStr">
        <is>
          <t>White Flare</t>
        </is>
      </c>
      <c r="D38" s="97" t="n">
        <v>312</v>
      </c>
      <c r="E38" s="97" t="n">
        <v>1550</v>
      </c>
      <c r="F38" s="6" t="n">
        <v>561.89</v>
      </c>
      <c r="G38" s="16">
        <f>Table1[[#This Row],[BB Price - Or 4 Booster Equivalent?]]/E38</f>
        <v/>
      </c>
      <c r="H38" s="84" t="n"/>
      <c r="I38" s="10">
        <f>Table1[[#This Row],[Top 3 Chase Cards]]/Table1[[#This Row],[Set Value (GBP)]]</f>
        <v/>
      </c>
      <c r="J38" s="84" t="n"/>
      <c r="K38" s="1">
        <f>SUM(Table1[[#This Row],[Scarcity (Print Status)]:[Set Depth]])</f>
        <v/>
      </c>
      <c r="L38" s="84" t="n">
        <v>1</v>
      </c>
      <c r="M38" s="84" t="n"/>
      <c r="N38" s="84" t="n"/>
      <c r="O38" s="84" t="n"/>
    </row>
    <row r="39" ht="18" customFormat="1" customHeight="1" s="42">
      <c r="A39" s="1" t="inlineStr">
        <is>
          <t>S&amp;V</t>
        </is>
      </c>
      <c r="B39" s="23" t="n">
        <v>45839</v>
      </c>
      <c r="C39" s="19" t="inlineStr">
        <is>
          <t>Black Bolt</t>
        </is>
      </c>
      <c r="D39" s="97" t="n">
        <v>408</v>
      </c>
      <c r="E39" s="97" t="n">
        <v>1972</v>
      </c>
      <c r="F39" s="6" t="n">
        <v>938</v>
      </c>
      <c r="G39" s="16">
        <f>Table1[[#This Row],[BB Price - Or 4 Booster Equivalent?]]/E39</f>
        <v/>
      </c>
      <c r="H39" s="84" t="n"/>
      <c r="I39" s="10">
        <f>Table1[[#This Row],[Top 3 Chase Cards]]/Table1[[#This Row],[Set Value (GBP)]]</f>
        <v/>
      </c>
      <c r="J39" s="84" t="n"/>
      <c r="K39" s="1">
        <f>SUM(Table1[[#This Row],[Scarcity (Print Status)]:[Set Depth]])</f>
        <v/>
      </c>
      <c r="L39" s="84" t="n">
        <v>1</v>
      </c>
      <c r="M39" s="84" t="n"/>
      <c r="N39" s="84" t="n"/>
      <c r="O39" s="84" t="n"/>
    </row>
    <row r="40" ht="18" customHeight="1">
      <c r="A40" s="1" t="inlineStr">
        <is>
          <t>S&amp;V</t>
        </is>
      </c>
      <c r="B40" s="23" t="n">
        <v>45901</v>
      </c>
      <c r="C40" s="18" t="inlineStr">
        <is>
          <t>Mega Evolution</t>
        </is>
      </c>
      <c r="D40" s="98" t="n">
        <v>155</v>
      </c>
      <c r="E40" s="98" t="n">
        <v>1720</v>
      </c>
      <c r="F40" s="10" t="n">
        <v>450</v>
      </c>
      <c r="G40" s="16">
        <f>Table1[[#This Row],[BB Price - Or 4 Booster Equivalent?]]/E40</f>
        <v/>
      </c>
      <c r="H40" s="1" t="inlineStr">
        <is>
          <t>STRONG BUY (Deep Value)</t>
        </is>
      </c>
      <c r="I40" s="10">
        <f>Table1[[#This Row],[Top 3 Chase Cards]]/Table1[[#This Row],[Set Value (GBP)]]</f>
        <v/>
      </c>
      <c r="J40" s="84" t="n"/>
      <c r="K40" s="1">
        <f>SUM(Table1[[#This Row],[Scarcity (Print Status)]:[Set Depth]])</f>
        <v/>
      </c>
      <c r="L40" s="84" t="n">
        <v>1</v>
      </c>
      <c r="M40" s="84" t="n"/>
      <c r="N40" s="63" t="n"/>
      <c r="O40" s="84" t="n"/>
    </row>
    <row r="41" ht="18" customHeight="1">
      <c r="A41" s="1" t="inlineStr">
        <is>
          <t>Mega</t>
        </is>
      </c>
      <c r="B41" s="23" t="n">
        <v>45962</v>
      </c>
      <c r="C41" s="19" t="inlineStr">
        <is>
          <t>Phantasmal Flames</t>
        </is>
      </c>
      <c r="D41" s="97" t="n">
        <v>206</v>
      </c>
      <c r="E41" s="97" t="n">
        <v>970</v>
      </c>
      <c r="F41" s="6" t="n">
        <v>784</v>
      </c>
      <c r="G41" s="16">
        <f>Table1[[#This Row],[BB Price - Or 4 Booster Equivalent?]]/E41</f>
        <v/>
      </c>
      <c r="H41" s="84" t="inlineStr">
        <is>
          <t>Speculative Play</t>
        </is>
      </c>
      <c r="I41" s="10">
        <f>Table1[[#This Row],[Top 3 Chase Cards]]/Table1[[#This Row],[Set Value (GBP)]]</f>
        <v/>
      </c>
      <c r="J41" s="84" t="n"/>
      <c r="K41" s="1">
        <f>SUM(Table1[[#This Row],[Scarcity (Print Status)]:[Set Depth]])</f>
        <v/>
      </c>
      <c r="L41" s="84" t="n">
        <v>1</v>
      </c>
      <c r="M41" s="84" t="n"/>
      <c r="N41" s="84" t="n"/>
      <c r="O41" s="84" t="n"/>
    </row>
    <row r="42" ht="18" customHeight="1">
      <c r="A42" s="1" t="inlineStr">
        <is>
          <t>MEGA</t>
        </is>
      </c>
      <c r="B42" s="23" t="n">
        <v>46023</v>
      </c>
      <c r="C42" s="19" t="inlineStr">
        <is>
          <t>Ascended Hereos</t>
        </is>
      </c>
      <c r="D42" s="97" t="n">
        <v>405</v>
      </c>
      <c r="E42" s="97" t="n">
        <v>2378</v>
      </c>
      <c r="F42" s="6" t="n">
        <v>1638</v>
      </c>
      <c r="G42" s="16">
        <f>Table1[[#This Row],[BB Price - Or 4 Booster Equivalent?]]/E42</f>
        <v/>
      </c>
      <c r="H42" s="84" t="n"/>
      <c r="I42" s="10">
        <f>Table1[[#This Row],[Top 3 Chase Cards]]/Table1[[#This Row],[Set Value (GBP)]]</f>
        <v/>
      </c>
      <c r="J42" s="84" t="n"/>
      <c r="K42" s="1">
        <f>SUM(Table1[[#This Row],[Scarcity (Print Status)]:[Set Depth]])</f>
        <v/>
      </c>
      <c r="L42" s="84" t="n">
        <v>3</v>
      </c>
      <c r="M42" s="84" t="n">
        <v>2</v>
      </c>
      <c r="N42" s="84" t="n">
        <v>5</v>
      </c>
      <c r="O42" s="84" t="n">
        <v>5</v>
      </c>
    </row>
    <row r="45">
      <c r="I45" t="inlineStr">
        <is>
          <t>Chase Card % (Risk Metric)</t>
        </is>
      </c>
    </row>
    <row r="46">
      <c r="I46" t="inlineStr">
        <is>
          <t>is the box a "One-Hit Wonder" or "Diversified Portfolio"?</t>
        </is>
      </c>
    </row>
    <row r="47">
      <c r="I47" t="inlineStr">
        <is>
          <t>Over 50% = High Risk, if those 3 cards lose hype, the box price will collapse</t>
        </is>
      </c>
    </row>
    <row r="48">
      <c r="I48" t="inlineStr">
        <is>
          <t>Under 25% = Stable: Value is spread across many cards, much safer</t>
        </is>
      </c>
    </row>
    <row r="51">
      <c r="J51" s="1" t="n"/>
    </row>
    <row r="52">
      <c r="J52" s="84" t="n"/>
    </row>
    <row r="53">
      <c r="J53" s="84" t="n"/>
    </row>
    <row r="54">
      <c r="J54" s="84" t="n"/>
    </row>
    <row r="58">
      <c r="I58" s="1" t="n"/>
      <c r="J58" s="1" t="n"/>
    </row>
    <row r="59">
      <c r="J59" s="84" t="n"/>
    </row>
    <row r="60">
      <c r="J60" s="84" t="n"/>
    </row>
    <row r="61">
      <c r="J61" s="84" t="n"/>
    </row>
    <row r="62">
      <c r="J62" s="84" t="n"/>
    </row>
    <row r="63">
      <c r="J63" s="84" t="n"/>
    </row>
  </sheetData>
  <conditionalFormatting sqref="B2:B609">
    <cfRule type="expression" priority="1" dxfId="1">
      <formula>AND(B2 &lt; EDATE(TODAY(), -18), B2 &gt; EDATE(TODAY(), -24))</formula>
    </cfRule>
    <cfRule type="expression" priority="4" dxfId="5" stopIfTrue="1">
      <formula>B2&lt; EDATE(TODAY(), -24)</formula>
    </cfRule>
  </conditionalFormatting>
  <conditionalFormatting sqref="G2:G1048576">
    <cfRule type="cellIs" priority="6" operator="greaterThan" dxfId="5" stopIfTrue="1">
      <formula>0.75</formula>
    </cfRule>
    <cfRule type="cellIs" priority="5" operator="lessThan" dxfId="0" stopIfTrue="1">
      <formula>0.5</formula>
    </cfRule>
    <cfRule type="cellIs" priority="7" operator="greaterThan" dxfId="1">
      <formula>0.5</formula>
    </cfRule>
  </conditionalFormatting>
  <conditionalFormatting sqref="I2:I42">
    <cfRule type="cellIs" priority="8" operator="lessThan" dxfId="0" stopIfTrue="1">
      <formula>0.5</formula>
    </cfRule>
    <cfRule type="cellIs" priority="9" operator="greaterThan" dxfId="1">
      <formula>0.5</formula>
    </cfRule>
  </conditionalFormatting>
  <conditionalFormatting sqref="K1:K1048576">
    <cfRule type="cellIs" priority="3" operator="greaterThan" dxfId="0" stopIfTrue="1">
      <formula>15</formula>
    </cfRule>
  </conditionalFormatting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111" workbookViewId="0">
      <selection activeCell="G8" sqref="A2:G8"/>
    </sheetView>
  </sheetViews>
  <sheetFormatPr baseColWidth="10" defaultRowHeight="16"/>
  <cols>
    <col width="44.6640625" bestFit="1" customWidth="1" min="1" max="1"/>
    <col width="12.33203125" bestFit="1" customWidth="1" min="2" max="2"/>
    <col width="13.6640625" customWidth="1" min="3" max="3"/>
    <col width="10.83203125" customWidth="1" style="9" min="4" max="4"/>
    <col width="20" customWidth="1" style="8" min="5" max="5"/>
    <col width="16" customWidth="1" style="8" min="6" max="6"/>
    <col width="17" bestFit="1" customWidth="1" style="3" min="7" max="7"/>
    <col width="85.6640625" customWidth="1" min="8" max="8"/>
  </cols>
  <sheetData>
    <row r="1">
      <c r="A1" t="inlineStr">
        <is>
          <t>Card Name</t>
        </is>
      </c>
      <c r="B1" t="inlineStr">
        <is>
          <t xml:space="preserve">Raw Price </t>
        </is>
      </c>
      <c r="C1" t="inlineStr">
        <is>
          <t>PSA 10 Price</t>
        </is>
      </c>
      <c r="D1" s="9" t="inlineStr">
        <is>
          <t>Price Increase</t>
        </is>
      </c>
      <c r="E1" s="8" t="inlineStr">
        <is>
          <t>Total Graded Copies</t>
        </is>
      </c>
      <c r="F1" s="8" t="inlineStr">
        <is>
          <t>Total 10 Copies</t>
        </is>
      </c>
      <c r="G1" s="3" t="inlineStr">
        <is>
          <t>10-Rate (Pop %)</t>
        </is>
      </c>
      <c r="H1" t="inlineStr">
        <is>
          <t>Mascot? (Charizard, Pikachu, Umbreon, Gengar, Rayquaza, Special Illustration Rare (SIR) Trainers (like Lillie or Dawn), Competitive play cards)</t>
        </is>
      </c>
    </row>
    <row r="2">
      <c r="A2" t="inlineStr">
        <is>
          <t>2022 JP Origin Form Giratina - VSTAR Universe</t>
        </is>
      </c>
      <c r="B2" t="n">
        <v>108</v>
      </c>
      <c r="C2" t="n">
        <v>162</v>
      </c>
      <c r="D2" s="9">
        <f>C2/B2</f>
        <v/>
      </c>
      <c r="E2" s="8" t="n">
        <v>28798</v>
      </c>
      <c r="F2" s="8" t="n">
        <v>27000</v>
      </c>
      <c r="G2" s="3">
        <f>F2/E2</f>
        <v/>
      </c>
    </row>
    <row r="3">
      <c r="A3" t="inlineStr">
        <is>
          <t>2022 JP Origin Form Dialga - VSTAR Universe</t>
        </is>
      </c>
      <c r="B3" t="n">
        <v>47</v>
      </c>
      <c r="C3" t="n">
        <v>100</v>
      </c>
      <c r="D3" s="9">
        <f>C3/B3</f>
        <v/>
      </c>
      <c r="E3" s="8" t="n">
        <v>19397</v>
      </c>
      <c r="F3" s="8" t="n">
        <v>18000</v>
      </c>
      <c r="G3" s="3">
        <f>F3/E3</f>
        <v/>
      </c>
    </row>
    <row r="4">
      <c r="A4" t="inlineStr">
        <is>
          <t>2022 JP Origin Form Arceus - VSTAR Universe</t>
        </is>
      </c>
      <c r="B4" t="n">
        <v>75</v>
      </c>
      <c r="C4" t="n">
        <v>127</v>
      </c>
      <c r="D4" s="9">
        <f>C4/B4</f>
        <v/>
      </c>
      <c r="E4" s="8" t="n">
        <v>23750</v>
      </c>
      <c r="F4" s="8" t="n">
        <v>22000</v>
      </c>
      <c r="G4" s="3">
        <f>F4/E4</f>
        <v/>
      </c>
    </row>
    <row r="5">
      <c r="A5" t="inlineStr">
        <is>
          <t>2022 JP Origin Form Palkia - VSTAR Universe</t>
        </is>
      </c>
      <c r="B5" t="n">
        <v>40</v>
      </c>
      <c r="C5" t="n">
        <v>95</v>
      </c>
      <c r="D5" s="9">
        <f>C5/B5</f>
        <v/>
      </c>
      <c r="E5" s="8" t="n">
        <v>19689</v>
      </c>
      <c r="F5" s="8" t="n">
        <v>18000</v>
      </c>
      <c r="G5" s="3">
        <f>F5/E5</f>
        <v/>
      </c>
    </row>
    <row r="6">
      <c r="A6" t="inlineStr">
        <is>
          <t xml:space="preserve">2023 JP Charizard ex - SAR </t>
        </is>
      </c>
      <c r="B6" t="n">
        <v>138</v>
      </c>
      <c r="C6" t="n">
        <v>250</v>
      </c>
      <c r="D6" s="9">
        <f>C6/B6</f>
        <v/>
      </c>
      <c r="E6" s="8" t="n">
        <v>23358</v>
      </c>
      <c r="F6" s="8" t="n">
        <v>21000</v>
      </c>
      <c r="G6" s="3">
        <f>F6/E6</f>
        <v/>
      </c>
    </row>
    <row r="7">
      <c r="A7" t="inlineStr">
        <is>
          <t xml:space="preserve">2023 JP Charizard ex - SAR </t>
        </is>
      </c>
      <c r="B7" t="n">
        <v>93</v>
      </c>
      <c r="C7" t="n">
        <v>240</v>
      </c>
      <c r="D7" s="9">
        <f>C7/B7</f>
        <v/>
      </c>
      <c r="E7" s="8" t="n">
        <v>19368</v>
      </c>
      <c r="F7" s="8" t="n">
        <v>17000</v>
      </c>
      <c r="G7" s="3">
        <f>F7/E7</f>
        <v/>
      </c>
    </row>
    <row r="8">
      <c r="A8" t="inlineStr">
        <is>
          <t>2023 JP Venusaur ex - SAR</t>
        </is>
      </c>
      <c r="B8" t="n">
        <v>60</v>
      </c>
      <c r="C8" t="n">
        <v>88</v>
      </c>
      <c r="D8" s="9">
        <f>C8/B8</f>
        <v/>
      </c>
      <c r="E8" s="8" t="n">
        <v>22917</v>
      </c>
      <c r="F8" s="8" t="n">
        <v>20000</v>
      </c>
      <c r="G8" s="3">
        <f>F8/E8</f>
        <v/>
      </c>
    </row>
    <row r="9">
      <c r="A9" t="inlineStr">
        <is>
          <t>2021 JP Vaporeon V - Eevee Heroes</t>
        </is>
      </c>
      <c r="B9" t="n">
        <v>72</v>
      </c>
      <c r="C9" t="n">
        <v>132</v>
      </c>
      <c r="D9" s="9">
        <f>C9/B9</f>
        <v/>
      </c>
      <c r="E9" s="8" t="n">
        <v>10661</v>
      </c>
      <c r="F9" s="8" t="n">
        <v>9263</v>
      </c>
      <c r="G9" s="3">
        <f>F9/E9</f>
        <v/>
      </c>
    </row>
    <row r="10">
      <c r="A10" t="inlineStr">
        <is>
          <t>2022 JP Charizard V - VSTAR Universe</t>
        </is>
      </c>
      <c r="B10" t="n">
        <v>22</v>
      </c>
      <c r="C10" t="n">
        <v>66.25</v>
      </c>
      <c r="D10" s="9">
        <f>C10/B10</f>
        <v/>
      </c>
      <c r="E10" s="8" t="n">
        <v>21327</v>
      </c>
      <c r="F10" s="8" t="n">
        <v>18000</v>
      </c>
      <c r="G10" s="3">
        <f>F10/E10</f>
        <v/>
      </c>
    </row>
    <row r="11">
      <c r="A11" t="inlineStr">
        <is>
          <t>2023 JP Venusaur - Classic Collection</t>
        </is>
      </c>
      <c r="B11" t="n">
        <v>21</v>
      </c>
      <c r="C11" t="n">
        <v>60</v>
      </c>
      <c r="D11" s="9">
        <f>C11/B11</f>
        <v/>
      </c>
      <c r="E11" s="8" t="n">
        <v>7096</v>
      </c>
      <c r="F11" s="8" t="n">
        <v>5657</v>
      </c>
      <c r="G11" s="3">
        <f>F11/E11</f>
        <v/>
      </c>
    </row>
    <row r="12">
      <c r="A12" t="inlineStr">
        <is>
          <t>2023 JP Charizard - Classic Collection</t>
        </is>
      </c>
      <c r="B12" t="n">
        <v>108</v>
      </c>
      <c r="C12" t="n">
        <v>260</v>
      </c>
      <c r="D12" s="9">
        <f>C12/B12</f>
        <v/>
      </c>
      <c r="E12" s="8" t="n">
        <v>11361</v>
      </c>
      <c r="F12" s="8" t="n">
        <v>9000</v>
      </c>
      <c r="G12" s="3">
        <f>F12/E12</f>
        <v/>
      </c>
    </row>
    <row r="13" hidden="1" customFormat="1" s="11">
      <c r="A13" s="11" t="inlineStr">
        <is>
          <t>2024 JP Eevee - Art Rare</t>
        </is>
      </c>
      <c r="B13" s="11" t="n">
        <v>17</v>
      </c>
      <c r="C13" s="11" t="n">
        <v>55</v>
      </c>
      <c r="D13" s="12">
        <f>C13/B13</f>
        <v/>
      </c>
      <c r="E13" s="13" t="n">
        <v>28325</v>
      </c>
      <c r="F13" s="13" t="n">
        <v>25000</v>
      </c>
      <c r="G13" s="14">
        <f>F13/E13</f>
        <v/>
      </c>
    </row>
    <row r="14">
      <c r="A14" t="inlineStr">
        <is>
          <t>2015 1st JP Ed Latias - Legendary Shine collection</t>
        </is>
      </c>
      <c r="B14" t="n">
        <v>58</v>
      </c>
      <c r="C14" t="n">
        <v>332</v>
      </c>
      <c r="D14" s="9">
        <f>C14/B14</f>
        <v/>
      </c>
      <c r="E14" s="8" t="n">
        <v>2474</v>
      </c>
      <c r="F14" s="8" t="n">
        <v>1631</v>
      </c>
      <c r="G14" s="3">
        <f>F14/E14</f>
        <v/>
      </c>
    </row>
    <row r="15" hidden="1" customFormat="1" s="11">
      <c r="A15" s="11" t="inlineStr">
        <is>
          <t>2022 JP Mewto Vstar - VSTAR Universe</t>
        </is>
      </c>
      <c r="B15" s="11" t="n">
        <v>55</v>
      </c>
      <c r="C15" s="11" t="n">
        <v>120</v>
      </c>
      <c r="D15" s="12">
        <f>C15/B15</f>
        <v/>
      </c>
      <c r="E15" s="13" t="n">
        <v>32367</v>
      </c>
      <c r="F15" s="13" t="n">
        <v>29000</v>
      </c>
      <c r="G15" s="14">
        <f>F15/E15</f>
        <v/>
      </c>
    </row>
    <row r="16" hidden="1" customFormat="1" s="11">
      <c r="A16" s="11" t="inlineStr">
        <is>
          <t>2021 JP Rayquaza VMAX - VMAX Climax</t>
        </is>
      </c>
      <c r="B16" s="11" t="n">
        <v>47</v>
      </c>
      <c r="C16" s="11" t="n">
        <v>120</v>
      </c>
      <c r="D16" s="12">
        <f>C16/B16</f>
        <v/>
      </c>
      <c r="E16" s="13" t="n">
        <v>8926</v>
      </c>
      <c r="F16" s="13" t="n">
        <v>7777</v>
      </c>
      <c r="G16" s="14">
        <f>F16/E16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10" defaultRowHeight="16"/>
  <cols>
    <col width="44.6640625" bestFit="1" customWidth="1" min="1" max="1"/>
    <col width="12.33203125" bestFit="1" customWidth="1" min="2" max="2"/>
    <col width="13.6640625" customWidth="1" min="3" max="3"/>
    <col width="10.83203125" customWidth="1" style="9" min="4" max="4"/>
    <col width="20" customWidth="1" style="8" min="5" max="5"/>
    <col width="16" customWidth="1" style="8" min="6" max="6"/>
    <col width="17" bestFit="1" customWidth="1" style="3" min="7" max="7"/>
    <col width="85.6640625" customWidth="1" min="8" max="8"/>
  </cols>
  <sheetData>
    <row r="1">
      <c r="A1" t="inlineStr">
        <is>
          <t>Card Name</t>
        </is>
      </c>
      <c r="B1" t="inlineStr">
        <is>
          <t xml:space="preserve">Raw Price </t>
        </is>
      </c>
      <c r="C1" t="inlineStr">
        <is>
          <t>PSA 10 Price</t>
        </is>
      </c>
      <c r="D1" s="9" t="inlineStr">
        <is>
          <t>Price Increase</t>
        </is>
      </c>
      <c r="E1" s="8" t="inlineStr">
        <is>
          <t>Total Graded Copies</t>
        </is>
      </c>
      <c r="F1" s="8" t="inlineStr">
        <is>
          <t>Total 10 Copies</t>
        </is>
      </c>
      <c r="G1" s="3" t="inlineStr">
        <is>
          <t>10-Rate (Pop %)</t>
        </is>
      </c>
      <c r="H1" t="inlineStr">
        <is>
          <t>Mascot? (Charizard, Pikachu, Umbreon, Gengar, Rayquaza, Special Illustration Rare (SIR) Trainers (like Lillie or Dawn), Competitive play cards)</t>
        </is>
      </c>
    </row>
    <row r="2">
      <c r="A2" t="inlineStr">
        <is>
          <t>2022 JP Origin Form Giratina - VSTAR Universe</t>
        </is>
      </c>
      <c r="B2" t="n">
        <v>108</v>
      </c>
      <c r="C2" t="n">
        <v>162</v>
      </c>
      <c r="D2" s="9" t="inlineStr">
        <is>
          <t>LOW DATA</t>
        </is>
      </c>
      <c r="E2" s="8" t="n">
        <v>28798</v>
      </c>
      <c r="F2" s="8" t="n">
        <v>27000</v>
      </c>
      <c r="G2" s="3">
        <f>F2/E2</f>
        <v/>
      </c>
    </row>
    <row r="3">
      <c r="A3" t="inlineStr">
        <is>
          <t>2022 JP Origin Form Dialga - VSTAR Universe</t>
        </is>
      </c>
      <c r="B3" t="n">
        <v>47</v>
      </c>
      <c r="C3" t="n">
        <v>100</v>
      </c>
      <c r="D3" s="9" t="inlineStr">
        <is>
          <t>LOW DATA</t>
        </is>
      </c>
      <c r="E3" s="8" t="n">
        <v>19397</v>
      </c>
      <c r="F3" s="8" t="n">
        <v>18000</v>
      </c>
      <c r="G3" s="3">
        <f>F3/E3</f>
        <v/>
      </c>
    </row>
    <row r="4">
      <c r="A4" t="inlineStr">
        <is>
          <t>2022 JP Origin Form Arceus - VSTAR Universe</t>
        </is>
      </c>
      <c r="B4" t="n">
        <v>75</v>
      </c>
      <c r="C4" t="n">
        <v>127</v>
      </c>
      <c r="D4" s="9" t="inlineStr">
        <is>
          <t>LOW DATA</t>
        </is>
      </c>
      <c r="E4" s="8" t="n">
        <v>23750</v>
      </c>
      <c r="F4" s="8" t="n">
        <v>22000</v>
      </c>
      <c r="G4" s="3">
        <f>F4/E4</f>
        <v/>
      </c>
    </row>
    <row r="5">
      <c r="A5" t="inlineStr">
        <is>
          <t>2022 JP Origin Form Palkia - VSTAR Universe</t>
        </is>
      </c>
      <c r="B5" t="n">
        <v>40</v>
      </c>
      <c r="C5" t="n">
        <v>95</v>
      </c>
      <c r="D5" s="9" t="inlineStr">
        <is>
          <t>LOW DATA</t>
        </is>
      </c>
      <c r="E5" s="8" t="n">
        <v>19689</v>
      </c>
      <c r="F5" s="8" t="n">
        <v>18000</v>
      </c>
      <c r="G5" s="3">
        <f>F5/E5</f>
        <v/>
      </c>
    </row>
    <row r="6">
      <c r="A6" t="inlineStr">
        <is>
          <t xml:space="preserve">2023 JP Charizard ex - SAR </t>
        </is>
      </c>
      <c r="B6" t="n">
        <v>138</v>
      </c>
      <c r="C6" t="n">
        <v>250</v>
      </c>
      <c r="D6" s="9" t="inlineStr">
        <is>
          <t>LOW DATA</t>
        </is>
      </c>
      <c r="E6" s="8" t="n">
        <v>23358</v>
      </c>
      <c r="F6" s="8" t="n">
        <v>21000</v>
      </c>
      <c r="G6" s="3">
        <f>F6/E6</f>
        <v/>
      </c>
    </row>
    <row r="7">
      <c r="A7" t="inlineStr">
        <is>
          <t xml:space="preserve">2023 JP Charizard ex - SAR </t>
        </is>
      </c>
      <c r="B7" t="n">
        <v>93</v>
      </c>
      <c r="C7" t="n">
        <v>240</v>
      </c>
      <c r="D7" s="9" t="inlineStr">
        <is>
          <t>LOW DATA</t>
        </is>
      </c>
      <c r="E7" s="8" t="n">
        <v>19368</v>
      </c>
      <c r="F7" s="8" t="n">
        <v>17000</v>
      </c>
      <c r="G7" s="3">
        <f>F7/E7</f>
        <v/>
      </c>
    </row>
    <row r="8">
      <c r="A8" t="inlineStr">
        <is>
          <t>2023 JP Venusaur ex - SAR</t>
        </is>
      </c>
      <c r="B8" t="n">
        <v>60</v>
      </c>
      <c r="C8" t="n">
        <v>88</v>
      </c>
      <c r="D8" s="9" t="inlineStr">
        <is>
          <t>LOW DATA</t>
        </is>
      </c>
      <c r="E8" s="8" t="n">
        <v>22917</v>
      </c>
      <c r="F8" s="8" t="n">
        <v>20000</v>
      </c>
      <c r="G8" s="3">
        <f>F8/E8</f>
        <v/>
      </c>
    </row>
    <row r="9">
      <c r="A9" t="inlineStr">
        <is>
          <t>2021 JP Vaporeon V - Eevee Heroes</t>
        </is>
      </c>
      <c r="B9" t="n">
        <v>72</v>
      </c>
      <c r="C9" t="n">
        <v>132</v>
      </c>
      <c r="D9" s="9" t="inlineStr">
        <is>
          <t>LOW DATA</t>
        </is>
      </c>
      <c r="E9" s="8" t="n">
        <v>10661</v>
      </c>
      <c r="F9" s="8" t="n">
        <v>9263</v>
      </c>
      <c r="G9" s="3">
        <f>F9/E9</f>
        <v/>
      </c>
    </row>
    <row r="10">
      <c r="A10" t="inlineStr">
        <is>
          <t>2022 JP Charizard V - VSTAR Universe</t>
        </is>
      </c>
      <c r="B10" t="n">
        <v>22</v>
      </c>
      <c r="C10" t="n">
        <v>66.25</v>
      </c>
      <c r="D10" s="9" t="inlineStr">
        <is>
          <t>LOW DATA</t>
        </is>
      </c>
      <c r="E10" s="8" t="n">
        <v>21327</v>
      </c>
      <c r="F10" s="8" t="n">
        <v>18000</v>
      </c>
      <c r="G10" s="3">
        <f>F10/E10</f>
        <v/>
      </c>
    </row>
    <row r="11">
      <c r="A11" t="inlineStr">
        <is>
          <t>2023 JP Venusaur - Classic Collection</t>
        </is>
      </c>
      <c r="B11" t="n">
        <v>21</v>
      </c>
      <c r="C11" t="n">
        <v>60</v>
      </c>
      <c r="D11" s="9" t="inlineStr">
        <is>
          <t>LOW DATA</t>
        </is>
      </c>
      <c r="E11" s="8" t="n">
        <v>7096</v>
      </c>
      <c r="F11" s="8" t="n">
        <v>5657</v>
      </c>
      <c r="G11" s="3">
        <f>F11/E11</f>
        <v/>
      </c>
    </row>
    <row r="12">
      <c r="A12" t="inlineStr">
        <is>
          <t>2023 JP Charizard - Classic Collection</t>
        </is>
      </c>
      <c r="B12" t="n">
        <v>108</v>
      </c>
      <c r="C12" t="n">
        <v>260</v>
      </c>
      <c r="D12" s="9" t="inlineStr">
        <is>
          <t>LOW DATA</t>
        </is>
      </c>
      <c r="E12" s="8" t="n">
        <v>11361</v>
      </c>
      <c r="F12" s="8" t="n">
        <v>9000</v>
      </c>
      <c r="G12" s="3">
        <f>F12/E12</f>
        <v/>
      </c>
    </row>
    <row r="13" hidden="1" customFormat="1" s="11">
      <c r="A13" s="11" t="inlineStr">
        <is>
          <t>2024 JP Eevee - Art Rare</t>
        </is>
      </c>
      <c r="B13" s="11" t="n">
        <v>17</v>
      </c>
      <c r="C13" s="11" t="n">
        <v>55</v>
      </c>
      <c r="D13" s="12" t="inlineStr">
        <is>
          <t>LOW DATA</t>
        </is>
      </c>
      <c r="E13" s="13" t="n">
        <v>28325</v>
      </c>
      <c r="F13" s="13" t="n">
        <v>25000</v>
      </c>
      <c r="G13" s="14">
        <f>F13/E13</f>
        <v/>
      </c>
    </row>
    <row r="14">
      <c r="A14" t="inlineStr">
        <is>
          <t>2015 1st JP Ed Latias - Legendary Shine collection</t>
        </is>
      </c>
      <c r="B14" t="n">
        <v>58</v>
      </c>
      <c r="C14" t="n">
        <v>332</v>
      </c>
      <c r="D14" s="9" t="inlineStr">
        <is>
          <t>LOW DATA</t>
        </is>
      </c>
      <c r="E14" s="8" t="n">
        <v>2474</v>
      </c>
      <c r="F14" s="8" t="n">
        <v>1631</v>
      </c>
      <c r="G14" s="3">
        <f>F14/E14</f>
        <v/>
      </c>
    </row>
    <row r="15" hidden="1" customFormat="1" s="11">
      <c r="A15" s="11" t="inlineStr">
        <is>
          <t>2022 JP Mewto Vstar - VSTAR Universe</t>
        </is>
      </c>
      <c r="B15" s="11" t="n">
        <v>55</v>
      </c>
      <c r="C15" s="11" t="n">
        <v>120</v>
      </c>
      <c r="D15" s="12">
        <f>C15/B15</f>
        <v/>
      </c>
      <c r="E15" s="13" t="n">
        <v>32367</v>
      </c>
      <c r="F15" s="13" t="n">
        <v>29000</v>
      </c>
      <c r="G15" s="14">
        <f>F15/E15</f>
        <v/>
      </c>
    </row>
    <row r="16" hidden="1" customFormat="1" s="11">
      <c r="A16" s="11" t="inlineStr">
        <is>
          <t>2021 JP Rayquaza VMAX - VMAX Climax</t>
        </is>
      </c>
      <c r="B16" s="11" t="n">
        <v>47</v>
      </c>
      <c r="C16" s="11" t="n">
        <v>120</v>
      </c>
      <c r="D16" s="12" t="inlineStr">
        <is>
          <t>LOW DATA</t>
        </is>
      </c>
      <c r="E16" s="13" t="n">
        <v>8926</v>
      </c>
      <c r="F16" s="13" t="n">
        <v>7777</v>
      </c>
      <c r="G16" s="14">
        <f>F16/E16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2026-02-06T10:27:37Z</dcterms:created>
  <dcterms:modified xsi:type="dcterms:W3CDTF">2026-04-05T13:03:01Z</dcterms:modified>
  <cp:lastModifiedBy>Microsoft Office User</cp:lastModifiedBy>
</cp:coreProperties>
</file>