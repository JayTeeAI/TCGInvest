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6" sheetId="1" r:id="rId5"/>
    <sheet state="visible" name="Mar 26" sheetId="2" r:id="rId6"/>
    <sheet state="visible" name="Feb 26" sheetId="3" r:id="rId7"/>
    <sheet state="visible" name="Selling Individual Cards" sheetId="4" r:id="rId8"/>
  </sheets>
  <definedNames>
    <definedName hidden="1" localSheetId="0" name="_xlnm._FilterDatabase">'Apr 26'!$A$1:$O$802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tc={1a8cd54b-e73f-4bdf-a031-7283e1bdca41}</author>
    <author>tc={74597459-018b-4399-9b7d-725fedb7aa53}</author>
    <author>tc={ecf8d398-337c-40cc-b772-522285058b1a}</author>
    <author>tc={f643e940-010d-4e8c-83ed-203b84ce7746}</author>
  </authors>
  <commentList>
    <comment authorId="0" xr:uid="{1a8cd54b-e73f-4bdf-a031-7283e1bdca41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1" xr:uid="{74597459-018b-4399-9b7d-725fedb7aa53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2" xr:uid="{ecf8d398-337c-40cc-b772-522285058b1a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3" xr:uid="{f643e940-010d-4e8c-83ed-203b84ce7746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tc={4909e6b7-8b63-40f7-849d-ce9fef518bbf}</author>
    <author>tc={678246ba-bd39-4616-85e5-cd89b040636c}</author>
    <author>tc={bf305e6d-c8d9-406d-aef4-4cce944af887}</author>
    <author>tc={d7d647b2-656d-43d7-99d7-9b9cdb831e80}</author>
  </authors>
  <commentList>
    <comment authorId="0" xr:uid="{4909e6b7-8b63-40f7-849d-ce9fef518bbf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1" xr:uid="{678246ba-bd39-4616-85e5-cd89b040636c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2" xr:uid="{bf305e6d-c8d9-406d-aef4-4cce944af887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3" xr:uid="{d7d647b2-656d-43d7-99d7-9b9cdb831e80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tc={5a52c6e1-607b-4546-b441-8ea2fb0cb65e}</author>
    <author>tc={9938acb3-fccf-44ec-9486-34976720f34a}</author>
    <author>tc={bd8be1ca-457e-446f-9b8a-b0c9ef8152e3}</author>
    <author>tc={be694584-ab27-4500-b21f-7deb863e200b}</author>
  </authors>
  <commentList>
    <comment authorId="0" xr:uid="{5a52c6e1-607b-4546-b441-8ea2fb0cb65e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1" xr:uid="{9938acb3-fccf-44ec-9486-34976720f34a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  <comment authorId="2" xr:uid="{bd8be1ca-457e-446f-9b8a-b0c9ef8152e3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3" xr:uid="{be694584-ab27-4500-b21f-7deb863e200b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</commentList>
</comments>
</file>

<file path=xl/sharedStrings.xml><?xml version="1.0" encoding="utf-8"?>
<sst xmlns="http://schemas.openxmlformats.org/spreadsheetml/2006/main" count="483" uniqueCount="168">
  <si>
    <t>Era</t>
  </si>
  <si>
    <t>Date Released</t>
  </si>
  <si>
    <t>Set Name</t>
  </si>
  <si>
    <t>BB Price (GBP)</t>
  </si>
  <si>
    <t>Set Value (GBP)</t>
  </si>
  <si>
    <t>Top 3 Chase Cards</t>
  </si>
  <si>
    <t>Box %</t>
  </si>
  <si>
    <t>Recommendation</t>
  </si>
  <si>
    <t>Chase Card %</t>
  </si>
  <si>
    <t>Print Status</t>
  </si>
  <si>
    <t>Decision Score</t>
  </si>
  <si>
    <t>Scarcity</t>
  </si>
  <si>
    <t>Liquidity</t>
  </si>
  <si>
    <t>Mascot Power</t>
  </si>
  <si>
    <t>Set Depth</t>
  </si>
  <si>
    <t>MEGA</t>
  </si>
  <si>
    <t>Mar-26</t>
  </si>
  <si>
    <t>Perfect Order</t>
  </si>
  <si>
    <t>Mega Zygarde ex, Meowth ex, Mega Zygarde ex</t>
  </si>
  <si>
    <t>Accumulate</t>
  </si>
  <si>
    <t/>
  </si>
  <si>
    <t>Ascended Hereos</t>
  </si>
  <si>
    <t>Mega Gengar ex, Pikachu ex, Mega Dragonite ex</t>
  </si>
  <si>
    <t>Phantasmal Flames</t>
  </si>
  <si>
    <t>Mega Charizard X ex, Mega Charizard X ex, Dawn</t>
  </si>
  <si>
    <t>S&amp;V</t>
  </si>
  <si>
    <t>Mega Evolution (Enhanced)</t>
  </si>
  <si>
    <t>Mega Lucario ex, Mega Gardevoir ex, Mega Lucario ex</t>
  </si>
  <si>
    <t>Black Bolt</t>
  </si>
  <si>
    <t>Victini, Zekrom ex, Zekrom ex</t>
  </si>
  <si>
    <t xml:space="preserve">S&amp;V </t>
  </si>
  <si>
    <t>White Flare</t>
  </si>
  <si>
    <t>Reshiram ex, Reshiram ex, Hydreigon ex</t>
  </si>
  <si>
    <t>Destined Rivals</t>
  </si>
  <si>
    <t>Team Rockets Mewtwo ex, Cynthias Garchomp ex, Ethans Ho Oh ex</t>
  </si>
  <si>
    <t>Journey Together (Enhanced)</t>
  </si>
  <si>
    <t>Lillies Clefairy ex, Salamence ex, Ns Zoroark ex</t>
  </si>
  <si>
    <t>Prismatic Evolutions</t>
  </si>
  <si>
    <t>Umbreon ex, Sylveon ex, Leafeon ex</t>
  </si>
  <si>
    <t>Surging Sparks</t>
  </si>
  <si>
    <t>Pikachu ex, Latias ex, Milotic ex</t>
  </si>
  <si>
    <t>In Print</t>
  </si>
  <si>
    <t>Stellar Crown</t>
  </si>
  <si>
    <t>Squirtle, Bulbasaur, Dachsbun ex</t>
  </si>
  <si>
    <t xml:space="preserve">Shrouded Fable </t>
  </si>
  <si>
    <t>Duskull, Persian, Dusclops</t>
  </si>
  <si>
    <t>Hold</t>
  </si>
  <si>
    <t>Twilight Masquerade</t>
  </si>
  <si>
    <t>Greninja ex, Perrin, Eevee</t>
  </si>
  <si>
    <t>Temporal Forces</t>
  </si>
  <si>
    <t>Gastly, Mortys Conviction, Raging Bolt ex</t>
  </si>
  <si>
    <t>Paldean Fates</t>
  </si>
  <si>
    <t>Mew ex, Charizard ex, Gardevoir ex</t>
  </si>
  <si>
    <t>Printing Till Sprint 2026</t>
  </si>
  <si>
    <t>Paradox Rift</t>
  </si>
  <si>
    <t>Groudon, Altaria ex, Plusle</t>
  </si>
  <si>
    <t>Charizard ex, Blastoise ex, Venusaur ex</t>
  </si>
  <si>
    <t>Obsidian Flames</t>
  </si>
  <si>
    <t>Charizard ex, Cleffa, Charizard ex</t>
  </si>
  <si>
    <t>Paldea Evolved</t>
  </si>
  <si>
    <t>Magikarp, Raichu, Maushold</t>
  </si>
  <si>
    <t>S&amp;V Base set</t>
  </si>
  <si>
    <t>Gardevoir ex, Drowzee, Kirlia</t>
  </si>
  <si>
    <t>SWSH</t>
  </si>
  <si>
    <t>Crown Zenith</t>
  </si>
  <si>
    <t>Mewtwo VSTAR, Giratina VSTAR Secret, Arceus VSTAR Secret</t>
  </si>
  <si>
    <t>Strong Buy</t>
  </si>
  <si>
    <t>Silver Tempest</t>
  </si>
  <si>
    <t>Lugia V Alternate Full Art, Rayquaza VMAX, Lugia VSTAR Secret 202</t>
  </si>
  <si>
    <t>Buy</t>
  </si>
  <si>
    <t>Lost Origin</t>
  </si>
  <si>
    <t>Giratina V Alternate Full Art, Aerodactyl V Alternate Full Art, Pikachu VMAX</t>
  </si>
  <si>
    <t>Astral Radiance</t>
  </si>
  <si>
    <t>Machamp V Alternate Full Art, Origin Forme Palkia V Alternate Full Art, Origin Forme Dialga V Alternate Full Art</t>
  </si>
  <si>
    <t>Brilliant Stars</t>
  </si>
  <si>
    <t>Charizard V Alternate Full Art, Umbreon VMAX, Charizard VSTAR Secret</t>
  </si>
  <si>
    <t>Fusion Strike</t>
  </si>
  <si>
    <t>Gengar VMAX Alternate Art Secret, Espeon VMAX Alternate Art Secret, Mew VMAX Alternate Art Secret</t>
  </si>
  <si>
    <t>Celebrations 25th</t>
  </si>
  <si>
    <t>Charizard, Umbreon Star, Mew Secret</t>
  </si>
  <si>
    <t>Evolving Skies</t>
  </si>
  <si>
    <t>Umbreon VMAX Alternate Art Secret, Rayquaza VMAX Alternate Art Secret, Dragonite V Alternate Full Art</t>
  </si>
  <si>
    <t>Long-Term OOP</t>
  </si>
  <si>
    <t>Chilling Reign</t>
  </si>
  <si>
    <t>Blaziken VMAX Alternate Art Secret, Galarian Moltres V Alternate Full Art, Snorlax Secret</t>
  </si>
  <si>
    <t>Battle Styles</t>
  </si>
  <si>
    <t>Tyranitar V Alternate Full Art, Rapid Strike Urshifu VMAX Alternate Art Secret, Empoleon V Alternate Full Art</t>
  </si>
  <si>
    <t>Shining Fates</t>
  </si>
  <si>
    <t>Charizard VMAX, Skyla Full Art, Suicune</t>
  </si>
  <si>
    <t>Vivid Voltage</t>
  </si>
  <si>
    <t>Pikachu VMAX Secret, Pikachu V Full Art, Pokemon Center Lady Full Art</t>
  </si>
  <si>
    <t>Champions Path</t>
  </si>
  <si>
    <t>Charizard V Secret, Charizard VMAX Secret, Gardevoir VMAX Secret</t>
  </si>
  <si>
    <t>Darkness Ablaze</t>
  </si>
  <si>
    <t>Charizard VMAX, Butterfree VMAX Secret, Salamence VMAX Secret</t>
  </si>
  <si>
    <t>Rebel Clash</t>
  </si>
  <si>
    <t>Bosss Orders Full Art, Bosss Orders Secret, Ninetales V Full Art</t>
  </si>
  <si>
    <t>Sword and Shield</t>
  </si>
  <si>
    <t>Snorlax VMAX Secret, Snorlax VMAX, Marnie Full Art</t>
  </si>
  <si>
    <t>SM</t>
  </si>
  <si>
    <t>Cosmic Eclipse</t>
  </si>
  <si>
    <t>Arceus and Dialga and Palkia GX Alternate Art, Reshiram and Zekrom GX Full Art, Blastoise and Piplup GX Alternate Art</t>
  </si>
  <si>
    <t>Hidden Fates</t>
  </si>
  <si>
    <t>Umbreon GX, Sylveon GX, Cynthia</t>
  </si>
  <si>
    <t>Unified Minds</t>
  </si>
  <si>
    <t>Mewtwo and Mew GX Secret, Mega Sableye and Tyranitar GX Alternate Art, Raichu and Alolan Raichu GX Alternate Full Art</t>
  </si>
  <si>
    <t>Unbroken Bonds</t>
  </si>
  <si>
    <t>Gardevoir and Sylveon GX 205 Full Art, Greninja and Zoroark GX 201 Full Art, Marshadow and Machamp GX 199 Full Art</t>
  </si>
  <si>
    <t>Team Up</t>
  </si>
  <si>
    <t>Latias and Latios GX Alternate Full Art, Gengar and Mimikyu GX Alternate Full Art, Magikarp and Wailord GX Alternate Full Art</t>
  </si>
  <si>
    <t>Lost Thunder</t>
  </si>
  <si>
    <t>Lugia GX Secret, Mimikyu GX Secret, Professor Elms Lecture Full Art</t>
  </si>
  <si>
    <t>Ultra Prism</t>
  </si>
  <si>
    <t>Lillie Full Art, Cynthia Full Art, Lusamine Full Art</t>
  </si>
  <si>
    <t>Evolutions</t>
  </si>
  <si>
    <t>M Charizard EX Full Art, Charizard, M Blastoise EX Full Art</t>
  </si>
  <si>
    <t>BB Price - Or 6 Booster Equivalent?</t>
  </si>
  <si>
    <t>Box % of Set (Sort By Ascending)</t>
  </si>
  <si>
    <t>Investor Rating</t>
  </si>
  <si>
    <t>Chase Card % (Risk)</t>
  </si>
  <si>
    <t xml:space="preserve">Print Status </t>
  </si>
  <si>
    <t>Decision Matrix</t>
  </si>
  <si>
    <t>Scarcity (Print Status)</t>
  </si>
  <si>
    <t>Format Liquidity</t>
  </si>
  <si>
    <t>STRONG BUY (Deep Value)</t>
  </si>
  <si>
    <t>Mega</t>
  </si>
  <si>
    <t>Speculative Play</t>
  </si>
  <si>
    <t>Buy on Dips</t>
  </si>
  <si>
    <t>Value Sleeper</t>
  </si>
  <si>
    <t>Fair Value</t>
  </si>
  <si>
    <t>Neutral</t>
  </si>
  <si>
    <t>ACCUMULATE</t>
  </si>
  <si>
    <t>BLUE CHIP (Core Hold)</t>
  </si>
  <si>
    <t>Hold / Take Profits</t>
  </si>
  <si>
    <t>S&amp;M</t>
  </si>
  <si>
    <t>Overvalued (Avoid)</t>
  </si>
  <si>
    <t>Mature / Hold</t>
  </si>
  <si>
    <t>AVOID (Peak Hype)</t>
  </si>
  <si>
    <t>BUBBLE (Sell/Trim)</t>
  </si>
  <si>
    <t>Chase Card % (Risk Metric)</t>
  </si>
  <si>
    <t>is the box a "One-Hit Wonder" or "Diversified Portfolio"?</t>
  </si>
  <si>
    <t>Over 50% = High Risk, if those 3 cards lose hype, the box price will collapse</t>
  </si>
  <si>
    <t>Under 25% = Stable: Value is spread across many cards, much safer</t>
  </si>
  <si>
    <t>BB Price - Or 4 Booster Equivalent?</t>
  </si>
  <si>
    <t>Journey Together</t>
  </si>
  <si>
    <t>Mega Evolution</t>
  </si>
  <si>
    <t>Card Name</t>
  </si>
  <si>
    <t xml:space="preserve">Raw Price </t>
  </si>
  <si>
    <t>PSA 10 Price</t>
  </si>
  <si>
    <t>Price Increase</t>
  </si>
  <si>
    <t>Total Graded Copies</t>
  </si>
  <si>
    <t>Total 10 Copies</t>
  </si>
  <si>
    <t>10-Rate (Pop %)</t>
  </si>
  <si>
    <t>Mascot? (Charizard, Pikachu, Umbreon, Gengar, Rayquaza, Special Illustration Rare (SIR) Trainers (like Lillie or Dawn), Competitive play cards)</t>
  </si>
  <si>
    <t>2022 JP Origin Form Giratina - VSTAR Universe</t>
  </si>
  <si>
    <t>2022 JP Origin Form Dialga - VSTAR Universe</t>
  </si>
  <si>
    <t>2022 JP Origin Form Arceus - VSTAR Universe</t>
  </si>
  <si>
    <t>2022 JP Origin Form Palkia - VSTAR Universe</t>
  </si>
  <si>
    <t xml:space="preserve">2023 JP Charizard ex - SAR </t>
  </si>
  <si>
    <t>2023 JP Venusaur ex - SAR</t>
  </si>
  <si>
    <t>2021 JP Vaporeon V - Eevee Heroes</t>
  </si>
  <si>
    <t>2022 JP Charizard V - VSTAR Universe</t>
  </si>
  <si>
    <t>2023 JP Venusaur - Classic Collection</t>
  </si>
  <si>
    <t>2023 JP Charizard - Classic Collection</t>
  </si>
  <si>
    <t>2024 JP Eevee - Art Rare</t>
  </si>
  <si>
    <t>2015 1st JP Ed Latias - Legendary Shine collection</t>
  </si>
  <si>
    <t>2022 JP Mewto Vstar - VSTAR Universe</t>
  </si>
  <si>
    <t>2021 JP Rayquaza VMAX - VMAX Climax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</si>
</sst>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[$$-C09]#,##0.00"/>
    <numFmt numFmtId="166" formatCode="&quot;£&quot;#,##0_);[Red]\(&quot;£&quot;#,##0\)"/>
  </numFmts>
  <fonts count="20">
    <font>
      <sz val="12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rgb="FF006600"/>
      <name val="Calibri"/>
    </font>
    <font>
      <b/>
      <sz val="12.0"/>
      <color rgb="FF003399"/>
      <name val="Calibri"/>
    </font>
    <font>
      <b/>
      <sz val="12.0"/>
      <color rgb="FF1F1F1F"/>
      <name val="Arial"/>
    </font>
    <font>
      <sz val="14.0"/>
      <color rgb="FF1F1F1F"/>
      <name val="Arial"/>
    </font>
    <font>
      <sz val="12.0"/>
      <color rgb="FF1F1F1F"/>
      <name val="Arial"/>
    </font>
    <font>
      <b/>
      <sz val="12.0"/>
      <color rgb="FF006600"/>
      <name val="Arial"/>
    </font>
    <font>
      <b/>
      <sz val="12.0"/>
      <color rgb="FFCC0000"/>
      <name val="Arial"/>
    </font>
    <font>
      <b/>
      <sz val="14.0"/>
      <color rgb="FF1F1F1F"/>
      <name val="Arial"/>
    </font>
    <font>
      <b/>
      <sz val="12.0"/>
      <color rgb="FF003399"/>
      <name val="Arial"/>
    </font>
    <font>
      <b/>
      <sz val="16.0"/>
      <color theme="0"/>
      <name val="Arial"/>
    </font>
    <font>
      <b/>
      <sz val="12.0"/>
      <color rgb="FF806600"/>
      <name val="Arial"/>
    </font>
    <font>
      <b/>
      <sz val="12.0"/>
      <color rgb="FFCC6600"/>
      <name val="Arial"/>
    </font>
    <font>
      <b/>
      <sz val="12.0"/>
      <color theme="1"/>
      <name val="Calibri"/>
    </font>
    <font>
      <color rgb="FFFFFFFF"/>
      <name val="Calibri"/>
      <scheme val="minor"/>
    </font>
    <font>
      <sz val="12.0"/>
      <color rgb="FFFFFFFF"/>
      <name val="Calibri"/>
    </font>
    <font>
      <strike/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CCFFCC"/>
        <bgColor rgb="FFCCFFCC"/>
      </patternFill>
    </fill>
    <fill>
      <patternFill patternType="solid">
        <fgColor rgb="FFCCE5FF"/>
        <bgColor rgb="FFCCE5FF"/>
      </patternFill>
    </fill>
    <fill>
      <patternFill patternType="solid">
        <fgColor rgb="FFFFCCCC"/>
        <bgColor rgb="FFFFCCCC"/>
      </patternFill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FACC"/>
        <bgColor rgb="FFFFFACC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E5CC"/>
        <bgColor rgb="FFFFE5CC"/>
      </patternFill>
    </fill>
    <fill>
      <patternFill patternType="solid">
        <fgColor rgb="FF92D050"/>
        <bgColor rgb="FF92D050"/>
      </patternFill>
    </fill>
  </fills>
  <borders count="6">
    <border/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/>
      <right style="thin">
        <color rgb="FF8EA9DB"/>
      </right>
      <top style="thin">
        <color rgb="FF8EA9DB"/>
      </top>
      <bottom style="thin">
        <color rgb="FF8EA9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3" fontId="4" numFmtId="2" xfId="0" applyAlignment="1" applyBorder="1" applyFont="1" applyNumberFormat="1">
      <alignment readingOrder="0"/>
    </xf>
    <xf borderId="1" fillId="4" fontId="5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0" fillId="0" fontId="6" numFmtId="0" xfId="0" applyFont="1"/>
    <xf borderId="0" fillId="0" fontId="6" numFmtId="17" xfId="0" applyFont="1" applyNumberFormat="1"/>
    <xf borderId="0" fillId="0" fontId="7" numFmtId="0" xfId="0" applyFont="1"/>
    <xf borderId="0" fillId="0" fontId="8" numFmtId="4" xfId="0" applyAlignment="1" applyFont="1" applyNumberFormat="1">
      <alignment readingOrder="0"/>
    </xf>
    <xf borderId="0" fillId="0" fontId="8" numFmtId="0" xfId="0" applyAlignment="1" applyFont="1">
      <alignment readingOrder="0"/>
    </xf>
    <xf borderId="1" fillId="3" fontId="9" numFmtId="164" xfId="0" applyAlignment="1" applyBorder="1" applyFont="1" applyNumberFormat="1">
      <alignment readingOrder="0"/>
    </xf>
    <xf borderId="0" fillId="5" fontId="10" numFmtId="2" xfId="0" applyAlignment="1" applyFill="1" applyFont="1" applyNumberFormat="1">
      <alignment readingOrder="0"/>
    </xf>
    <xf borderId="3" fillId="0" fontId="8" numFmtId="0" xfId="0" applyBorder="1" applyFont="1"/>
    <xf borderId="0" fillId="3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1" numFmtId="0" xfId="0" applyFont="1"/>
    <xf borderId="0" fillId="0" fontId="6" numFmtId="4" xfId="0" applyAlignment="1" applyFont="1" applyNumberFormat="1">
      <alignment readingOrder="0"/>
    </xf>
    <xf borderId="0" fillId="3" fontId="9" numFmtId="2" xfId="0" applyAlignment="1" applyFont="1" applyNumberFormat="1">
      <alignment readingOrder="0"/>
    </xf>
    <xf borderId="0" fillId="0" fontId="8" numFmtId="0" xfId="0" applyFont="1"/>
    <xf borderId="0" fillId="4" fontId="12" numFmtId="0" xfId="0" applyAlignment="1" applyFont="1">
      <alignment readingOrder="0"/>
    </xf>
    <xf borderId="0" fillId="6" fontId="13" numFmtId="0" xfId="0" applyAlignment="1" applyFill="1" applyFont="1">
      <alignment readingOrder="0"/>
    </xf>
    <xf borderId="1" fillId="7" fontId="3" numFmtId="0" xfId="0" applyBorder="1" applyFill="1" applyFont="1"/>
    <xf borderId="1" fillId="0" fontId="8" numFmtId="0" xfId="0" applyAlignment="1" applyBorder="1" applyFont="1">
      <alignment readingOrder="0"/>
    </xf>
    <xf borderId="1" fillId="0" fontId="6" numFmtId="0" xfId="0" applyBorder="1" applyFont="1"/>
    <xf borderId="1" fillId="0" fontId="6" numFmtId="17" xfId="0" applyBorder="1" applyFont="1" applyNumberFormat="1"/>
    <xf borderId="1" fillId="0" fontId="7" numFmtId="0" xfId="0" applyBorder="1" applyFont="1"/>
    <xf borderId="1" fillId="0" fontId="8" numFmtId="4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1" fillId="3" fontId="9" numFmtId="2" xfId="0" applyAlignment="1" applyBorder="1" applyFont="1" applyNumberFormat="1">
      <alignment readingOrder="0"/>
    </xf>
    <xf borderId="1" fillId="0" fontId="8" numFmtId="0" xfId="0" applyBorder="1" applyFont="1"/>
    <xf borderId="1" fillId="4" fontId="12" numFmtId="0" xfId="0" applyAlignment="1" applyBorder="1" applyFont="1">
      <alignment readingOrder="0"/>
    </xf>
    <xf borderId="1" fillId="8" fontId="6" numFmtId="0" xfId="0" applyBorder="1" applyFill="1" applyFont="1"/>
    <xf borderId="1" fillId="8" fontId="6" numFmtId="17" xfId="0" applyBorder="1" applyFont="1" applyNumberFormat="1"/>
    <xf borderId="1" fillId="8" fontId="7" numFmtId="0" xfId="0" applyBorder="1" applyFont="1"/>
    <xf borderId="1" fillId="8" fontId="8" numFmtId="4" xfId="0" applyAlignment="1" applyBorder="1" applyFont="1" applyNumberFormat="1">
      <alignment readingOrder="0"/>
    </xf>
    <xf borderId="1" fillId="8" fontId="8" numFmtId="0" xfId="0" applyAlignment="1" applyBorder="1" applyFont="1">
      <alignment readingOrder="0"/>
    </xf>
    <xf borderId="1" fillId="9" fontId="14" numFmtId="164" xfId="0" applyAlignment="1" applyBorder="1" applyFill="1" applyFont="1" applyNumberFormat="1">
      <alignment readingOrder="0"/>
    </xf>
    <xf borderId="1" fillId="8" fontId="8" numFmtId="0" xfId="0" applyBorder="1" applyFont="1"/>
    <xf borderId="1" fillId="8" fontId="8" numFmtId="0" xfId="0" applyAlignment="1" applyBorder="1" applyFont="1">
      <alignment readingOrder="0"/>
    </xf>
    <xf borderId="1" fillId="10" fontId="3" numFmtId="0" xfId="0" applyBorder="1" applyFill="1" applyFont="1"/>
    <xf borderId="1" fillId="10" fontId="6" numFmtId="0" xfId="0" applyBorder="1" applyFont="1"/>
    <xf borderId="1" fillId="10" fontId="6" numFmtId="17" xfId="0" applyBorder="1" applyFont="1" applyNumberFormat="1"/>
    <xf borderId="1" fillId="10" fontId="7" numFmtId="0" xfId="0" applyBorder="1" applyFont="1"/>
    <xf borderId="1" fillId="10" fontId="8" numFmtId="4" xfId="0" applyAlignment="1" applyBorder="1" applyFont="1" applyNumberFormat="1">
      <alignment readingOrder="0"/>
    </xf>
    <xf borderId="1" fillId="10" fontId="8" numFmtId="0" xfId="0" applyAlignment="1" applyBorder="1" applyFont="1">
      <alignment readingOrder="0"/>
    </xf>
    <xf borderId="1" fillId="10" fontId="8" numFmtId="0" xfId="0" applyBorder="1" applyFont="1"/>
    <xf borderId="1" fillId="3" fontId="9" numFmtId="0" xfId="0" applyAlignment="1" applyBorder="1" applyFont="1">
      <alignment readingOrder="0"/>
    </xf>
    <xf borderId="1" fillId="10" fontId="8" numFmtId="0" xfId="0" applyAlignment="1" applyBorder="1" applyFont="1">
      <alignment readingOrder="0"/>
    </xf>
    <xf borderId="1" fillId="11" fontId="3" numFmtId="0" xfId="0" applyBorder="1" applyFill="1" applyFont="1"/>
    <xf borderId="1" fillId="11" fontId="6" numFmtId="0" xfId="0" applyBorder="1" applyFont="1"/>
    <xf borderId="1" fillId="11" fontId="6" numFmtId="17" xfId="0" applyBorder="1" applyFont="1" applyNumberFormat="1"/>
    <xf borderId="1" fillId="11" fontId="7" numFmtId="0" xfId="0" applyBorder="1" applyFont="1"/>
    <xf borderId="1" fillId="11" fontId="8" numFmtId="4" xfId="0" applyAlignment="1" applyBorder="1" applyFont="1" applyNumberFormat="1">
      <alignment readingOrder="0"/>
    </xf>
    <xf borderId="1" fillId="11" fontId="8" numFmtId="0" xfId="0" applyAlignment="1" applyBorder="1" applyFont="1">
      <alignment readingOrder="0"/>
    </xf>
    <xf borderId="1" fillId="5" fontId="10" numFmtId="2" xfId="0" applyAlignment="1" applyBorder="1" applyFont="1" applyNumberFormat="1">
      <alignment readingOrder="0"/>
    </xf>
    <xf borderId="4" fillId="11" fontId="8" numFmtId="0" xfId="0" applyBorder="1" applyFont="1"/>
    <xf borderId="1" fillId="11" fontId="8" numFmtId="0" xfId="0" applyAlignment="1" applyBorder="1" applyFont="1">
      <alignment readingOrder="0"/>
    </xf>
    <xf borderId="1" fillId="12" fontId="15" numFmtId="164" xfId="0" applyAlignment="1" applyBorder="1" applyFill="1" applyFont="1" applyNumberFormat="1">
      <alignment readingOrder="0"/>
    </xf>
    <xf borderId="1" fillId="9" fontId="14" numFmtId="0" xfId="0" applyAlignment="1" applyBorder="1" applyFont="1">
      <alignment readingOrder="0"/>
    </xf>
    <xf borderId="1" fillId="7" fontId="6" numFmtId="0" xfId="0" applyBorder="1" applyFont="1"/>
    <xf borderId="1" fillId="7" fontId="6" numFmtId="17" xfId="0" applyBorder="1" applyFont="1" applyNumberFormat="1"/>
    <xf borderId="1" fillId="7" fontId="7" numFmtId="0" xfId="0" applyBorder="1" applyFont="1"/>
    <xf borderId="1" fillId="7" fontId="8" numFmtId="4" xfId="0" applyAlignment="1" applyBorder="1" applyFont="1" applyNumberFormat="1">
      <alignment readingOrder="0"/>
    </xf>
    <xf borderId="1" fillId="7" fontId="8" numFmtId="0" xfId="0" applyAlignment="1" applyBorder="1" applyFont="1">
      <alignment readingOrder="0"/>
    </xf>
    <xf borderId="1" fillId="7" fontId="8" numFmtId="0" xfId="0" applyBorder="1" applyFont="1"/>
    <xf borderId="1" fillId="7" fontId="8" numFmtId="0" xfId="0" applyAlignment="1" applyBorder="1" applyFont="1">
      <alignment readingOrder="0"/>
    </xf>
    <xf borderId="0" fillId="7" fontId="6" numFmtId="0" xfId="0" applyFont="1"/>
    <xf borderId="0" fillId="7" fontId="6" numFmtId="17" xfId="0" applyFont="1" applyNumberFormat="1"/>
    <xf borderId="0" fillId="7" fontId="7" numFmtId="0" xfId="0" applyFont="1"/>
    <xf borderId="0" fillId="7" fontId="8" numFmtId="4" xfId="0" applyAlignment="1" applyFont="1" applyNumberFormat="1">
      <alignment readingOrder="0"/>
    </xf>
    <xf borderId="0" fillId="7" fontId="8" numFmtId="0" xfId="0" applyAlignment="1" applyFont="1">
      <alignment readingOrder="0"/>
    </xf>
    <xf borderId="0" fillId="7" fontId="8" numFmtId="0" xfId="0" applyFont="1"/>
    <xf borderId="0" fillId="7" fontId="8" numFmtId="0" xfId="0" applyAlignment="1" applyFont="1">
      <alignment readingOrder="0"/>
    </xf>
    <xf borderId="1" fillId="5" fontId="10" numFmtId="17" xfId="0" applyBorder="1" applyFont="1" applyNumberFormat="1"/>
    <xf borderId="1" fillId="8" fontId="3" numFmtId="0" xfId="0" applyBorder="1" applyFont="1"/>
    <xf borderId="1" fillId="11" fontId="7" numFmtId="0" xfId="0" applyAlignment="1" applyBorder="1" applyFont="1">
      <alignment horizontal="left"/>
    </xf>
    <xf borderId="1" fillId="5" fontId="10" numFmtId="164" xfId="0" applyAlignment="1" applyBorder="1" applyFont="1" applyNumberFormat="1">
      <alignment readingOrder="0"/>
    </xf>
    <xf borderId="1" fillId="11" fontId="8" numFmtId="0" xfId="0" applyBorder="1" applyFont="1"/>
    <xf borderId="0" fillId="8" fontId="6" numFmtId="0" xfId="0" applyFont="1"/>
    <xf borderId="0" fillId="5" fontId="10" numFmtId="17" xfId="0" applyFont="1" applyNumberFormat="1"/>
    <xf borderId="0" fillId="8" fontId="7" numFmtId="0" xfId="0" applyFont="1"/>
    <xf borderId="0" fillId="8" fontId="8" numFmtId="4" xfId="0" applyAlignment="1" applyFont="1" applyNumberFormat="1">
      <alignment readingOrder="0"/>
    </xf>
    <xf borderId="0" fillId="8" fontId="8" numFmtId="0" xfId="0" applyAlignment="1" applyFont="1">
      <alignment readingOrder="0"/>
    </xf>
    <xf borderId="0" fillId="8" fontId="6" numFmtId="0" xfId="0" applyAlignment="1" applyFont="1">
      <alignment readingOrder="0"/>
    </xf>
    <xf borderId="0" fillId="8" fontId="8" numFmtId="0" xfId="0" applyFont="1"/>
    <xf borderId="0" fillId="8" fontId="8" numFmtId="0" xfId="0" applyAlignment="1" applyFont="1">
      <alignment readingOrder="0"/>
    </xf>
    <xf borderId="1" fillId="13" fontId="3" numFmtId="0" xfId="0" applyBorder="1" applyFill="1" applyFont="1"/>
    <xf borderId="1" fillId="13" fontId="6" numFmtId="0" xfId="0" applyBorder="1" applyFont="1"/>
    <xf borderId="1" fillId="13" fontId="7" numFmtId="0" xfId="0" applyBorder="1" applyFont="1"/>
    <xf borderId="1" fillId="13" fontId="8" numFmtId="4" xfId="0" applyAlignment="1" applyBorder="1" applyFont="1" applyNumberFormat="1">
      <alignment readingOrder="0"/>
    </xf>
    <xf borderId="1" fillId="13" fontId="8" numFmtId="0" xfId="0" applyAlignment="1" applyBorder="1" applyFont="1">
      <alignment readingOrder="0"/>
    </xf>
    <xf borderId="1" fillId="13" fontId="8" numFmtId="0" xfId="0" applyBorder="1" applyFont="1"/>
    <xf borderId="1" fillId="13" fontId="8" numFmtId="0" xfId="0" applyAlignment="1" applyBorder="1" applyFont="1">
      <alignment readingOrder="0"/>
    </xf>
    <xf borderId="0" fillId="13" fontId="6" numFmtId="0" xfId="0" applyFont="1"/>
    <xf borderId="0" fillId="13" fontId="7" numFmtId="0" xfId="0" applyFont="1"/>
    <xf borderId="0" fillId="13" fontId="8" numFmtId="4" xfId="0" applyAlignment="1" applyFont="1" applyNumberFormat="1">
      <alignment readingOrder="0"/>
    </xf>
    <xf borderId="0" fillId="13" fontId="8" numFmtId="0" xfId="0" applyAlignment="1" applyFont="1">
      <alignment readingOrder="0"/>
    </xf>
    <xf borderId="0" fillId="13" fontId="8" numFmtId="0" xfId="0" applyFont="1"/>
    <xf borderId="0" fillId="13" fontId="8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5" fontId="10" numFmtId="164" xfId="0" applyAlignment="1" applyFont="1" applyNumberFormat="1">
      <alignment readingOrder="0"/>
    </xf>
    <xf borderId="0" fillId="0" fontId="3" numFmtId="4" xfId="0" applyFont="1" applyNumberFormat="1"/>
    <xf borderId="0" fillId="0" fontId="3" numFmtId="2" xfId="0" applyFont="1" applyNumberFormat="1"/>
    <xf borderId="0" fillId="0" fontId="16" numFmtId="4" xfId="0" applyFont="1" applyNumberFormat="1"/>
    <xf borderId="0" fillId="0" fontId="16" numFmtId="0" xfId="0" applyFont="1"/>
    <xf borderId="0" fillId="0" fontId="3" numFmtId="165" xfId="0" applyFont="1" applyNumberFormat="1"/>
    <xf borderId="0" fillId="0" fontId="16" numFmtId="10" xfId="0" applyFont="1" applyNumberFormat="1"/>
    <xf borderId="0" fillId="0" fontId="13" numFmtId="0" xfId="0" applyFont="1"/>
    <xf borderId="0" fillId="0" fontId="13" numFmtId="165" xfId="0" applyFont="1" applyNumberFormat="1"/>
    <xf borderId="0" fillId="0" fontId="13" numFmtId="2" xfId="0" applyFont="1" applyNumberFormat="1"/>
    <xf borderId="0" fillId="0" fontId="13" numFmtId="10" xfId="0" applyFont="1" applyNumberFormat="1"/>
    <xf borderId="5" fillId="0" fontId="13" numFmtId="0" xfId="0" applyBorder="1" applyFont="1"/>
    <xf borderId="1" fillId="10" fontId="6" numFmtId="0" xfId="0" applyBorder="1" applyFont="1"/>
    <xf borderId="1" fillId="10" fontId="6" numFmtId="17" xfId="0" applyBorder="1" applyFont="1" applyNumberFormat="1"/>
    <xf borderId="1" fillId="10" fontId="7" numFmtId="0" xfId="0" applyBorder="1" applyFont="1"/>
    <xf borderId="1" fillId="10" fontId="8" numFmtId="165" xfId="0" applyBorder="1" applyFont="1" applyNumberFormat="1"/>
    <xf borderId="1" fillId="10" fontId="8" numFmtId="2" xfId="0" applyBorder="1" applyFont="1" applyNumberFormat="1"/>
    <xf borderId="1" fillId="10" fontId="6" numFmtId="10" xfId="0" applyBorder="1" applyFont="1" applyNumberFormat="1"/>
    <xf borderId="1" fillId="10" fontId="8" numFmtId="0" xfId="0" applyBorder="1" applyFont="1"/>
    <xf borderId="1" fillId="10" fontId="6" numFmtId="2" xfId="0" applyBorder="1" applyFont="1" applyNumberFormat="1"/>
    <xf borderId="2" fillId="10" fontId="8" numFmtId="0" xfId="0" applyBorder="1" applyFont="1"/>
    <xf borderId="0" fillId="0" fontId="6" numFmtId="0" xfId="0" applyFont="1"/>
    <xf borderId="0" fillId="0" fontId="6" numFmtId="17" xfId="0" applyFont="1" applyNumberFormat="1"/>
    <xf borderId="0" fillId="0" fontId="7" numFmtId="0" xfId="0" applyFont="1"/>
    <xf borderId="0" fillId="0" fontId="8" numFmtId="165" xfId="0" applyFont="1" applyNumberFormat="1"/>
    <xf borderId="0" fillId="0" fontId="8" numFmtId="2" xfId="0" applyFont="1" applyNumberFormat="1"/>
    <xf borderId="0" fillId="0" fontId="6" numFmtId="10" xfId="0" applyFont="1" applyNumberFormat="1"/>
    <xf borderId="0" fillId="0" fontId="8" numFmtId="0" xfId="0" applyFont="1"/>
    <xf borderId="0" fillId="0" fontId="6" numFmtId="2" xfId="0" applyFont="1" applyNumberFormat="1"/>
    <xf borderId="3" fillId="0" fontId="8" numFmtId="0" xfId="0" applyBorder="1" applyFont="1"/>
    <xf borderId="0" fillId="0" fontId="11" numFmtId="0" xfId="0" applyFont="1"/>
    <xf borderId="0" fillId="0" fontId="6" numFmtId="165" xfId="0" applyFont="1" applyNumberFormat="1"/>
    <xf borderId="1" fillId="6" fontId="13" numFmtId="0" xfId="0" applyBorder="1" applyFont="1"/>
    <xf borderId="1" fillId="7" fontId="6" numFmtId="0" xfId="0" applyBorder="1" applyFont="1"/>
    <xf borderId="1" fillId="7" fontId="6" numFmtId="17" xfId="0" applyBorder="1" applyFont="1" applyNumberFormat="1"/>
    <xf borderId="1" fillId="7" fontId="7" numFmtId="0" xfId="0" applyBorder="1" applyFont="1"/>
    <xf borderId="1" fillId="7" fontId="8" numFmtId="165" xfId="0" applyBorder="1" applyFont="1" applyNumberFormat="1"/>
    <xf borderId="1" fillId="7" fontId="8" numFmtId="2" xfId="0" applyBorder="1" applyFont="1" applyNumberFormat="1"/>
    <xf borderId="1" fillId="7" fontId="6" numFmtId="10" xfId="0" applyBorder="1" applyFont="1" applyNumberFormat="1"/>
    <xf borderId="1" fillId="7" fontId="8" numFmtId="0" xfId="0" applyBorder="1" applyFont="1"/>
    <xf borderId="1" fillId="7" fontId="6" numFmtId="2" xfId="0" applyBorder="1" applyFont="1" applyNumberFormat="1"/>
    <xf borderId="1" fillId="11" fontId="6" numFmtId="0" xfId="0" applyBorder="1" applyFont="1"/>
    <xf borderId="1" fillId="11" fontId="6" numFmtId="17" xfId="0" applyBorder="1" applyFont="1" applyNumberFormat="1"/>
    <xf borderId="1" fillId="11" fontId="7" numFmtId="0" xfId="0" applyBorder="1" applyFont="1"/>
    <xf borderId="1" fillId="11" fontId="8" numFmtId="165" xfId="0" applyBorder="1" applyFont="1" applyNumberFormat="1"/>
    <xf borderId="1" fillId="11" fontId="8" numFmtId="2" xfId="0" applyBorder="1" applyFont="1" applyNumberFormat="1"/>
    <xf borderId="1" fillId="11" fontId="6" numFmtId="10" xfId="0" applyBorder="1" applyFont="1" applyNumberFormat="1"/>
    <xf borderId="1" fillId="11" fontId="8" numFmtId="0" xfId="0" applyBorder="1" applyFont="1"/>
    <xf borderId="1" fillId="11" fontId="6" numFmtId="2" xfId="0" applyBorder="1" applyFont="1" applyNumberFormat="1"/>
    <xf borderId="4" fillId="7" fontId="8" numFmtId="0" xfId="0" applyBorder="1" applyFont="1"/>
    <xf borderId="1" fillId="13" fontId="6" numFmtId="0" xfId="0" applyBorder="1" applyFont="1"/>
    <xf borderId="1" fillId="13" fontId="6" numFmtId="17" xfId="0" applyBorder="1" applyFont="1" applyNumberFormat="1"/>
    <xf borderId="1" fillId="13" fontId="7" numFmtId="0" xfId="0" applyBorder="1" applyFont="1"/>
    <xf borderId="1" fillId="13" fontId="8" numFmtId="165" xfId="0" applyBorder="1" applyFont="1" applyNumberFormat="1"/>
    <xf borderId="1" fillId="13" fontId="8" numFmtId="2" xfId="0" applyBorder="1" applyFont="1" applyNumberFormat="1"/>
    <xf borderId="1" fillId="13" fontId="6" numFmtId="10" xfId="0" applyBorder="1" applyFont="1" applyNumberFormat="1"/>
    <xf borderId="1" fillId="13" fontId="8" numFmtId="0" xfId="0" applyBorder="1" applyFont="1"/>
    <xf borderId="1" fillId="13" fontId="6" numFmtId="2" xfId="0" applyBorder="1" applyFont="1" applyNumberFormat="1"/>
    <xf borderId="1" fillId="8" fontId="6" numFmtId="0" xfId="0" applyBorder="1" applyFont="1"/>
    <xf borderId="1" fillId="8" fontId="6" numFmtId="17" xfId="0" applyBorder="1" applyFont="1" applyNumberFormat="1"/>
    <xf borderId="1" fillId="8" fontId="7" numFmtId="0" xfId="0" applyBorder="1" applyFont="1"/>
    <xf borderId="1" fillId="8" fontId="8" numFmtId="165" xfId="0" applyBorder="1" applyFont="1" applyNumberFormat="1"/>
    <xf borderId="1" fillId="8" fontId="8" numFmtId="2" xfId="0" applyBorder="1" applyFont="1" applyNumberFormat="1"/>
    <xf borderId="1" fillId="8" fontId="6" numFmtId="10" xfId="0" applyBorder="1" applyFont="1" applyNumberFormat="1"/>
    <xf borderId="1" fillId="8" fontId="8" numFmtId="0" xfId="0" applyBorder="1" applyFont="1"/>
    <xf borderId="1" fillId="8" fontId="6" numFmtId="2" xfId="0" applyBorder="1" applyFont="1" applyNumberFormat="1"/>
    <xf borderId="1" fillId="11" fontId="7" numFmtId="0" xfId="0" applyAlignment="1" applyBorder="1" applyFont="1">
      <alignment horizontal="left"/>
    </xf>
    <xf borderId="0" fillId="0" fontId="2" numFmtId="0" xfId="0" applyFont="1"/>
    <xf borderId="0" fillId="0" fontId="8" numFmtId="166" xfId="0" applyFont="1" applyNumberFormat="1"/>
    <xf borderId="5" fillId="0" fontId="8" numFmtId="0" xfId="0" applyBorder="1" applyFont="1"/>
    <xf borderId="0" fillId="0" fontId="6" numFmtId="166" xfId="0" applyFont="1" applyNumberFormat="1"/>
    <xf borderId="1" fillId="8" fontId="8" numFmtId="166" xfId="0" applyBorder="1" applyFont="1" applyNumberFormat="1"/>
    <xf borderId="1" fillId="7" fontId="8" numFmtId="166" xfId="0" applyBorder="1" applyFont="1" applyNumberFormat="1"/>
    <xf borderId="1" fillId="11" fontId="8" numFmtId="166" xfId="0" applyBorder="1" applyFont="1" applyNumberFormat="1"/>
    <xf borderId="1" fillId="10" fontId="7" numFmtId="0" xfId="0" applyAlignment="1" applyBorder="1" applyFont="1">
      <alignment horizontal="left"/>
    </xf>
    <xf borderId="1" fillId="10" fontId="8" numFmtId="166" xfId="0" applyBorder="1" applyFont="1" applyNumberFormat="1"/>
    <xf borderId="1" fillId="13" fontId="8" numFmtId="166" xfId="0" applyBorder="1" applyFont="1" applyNumberFormat="1"/>
    <xf borderId="4" fillId="8" fontId="8" numFmtId="0" xfId="0" applyBorder="1" applyFont="1"/>
    <xf borderId="0" fillId="0" fontId="17" numFmtId="0" xfId="0" applyFont="1"/>
    <xf borderId="0" fillId="0" fontId="18" numFmtId="2" xfId="0" applyFont="1" applyNumberFormat="1"/>
    <xf borderId="0" fillId="0" fontId="18" numFmtId="3" xfId="0" applyFont="1" applyNumberFormat="1"/>
    <xf borderId="0" fillId="0" fontId="18" numFmtId="10" xfId="0" applyFont="1" applyNumberFormat="1"/>
    <xf borderId="0" fillId="0" fontId="2" numFmtId="0" xfId="0" applyFont="1"/>
    <xf borderId="0" fillId="0" fontId="3" numFmtId="2" xfId="0" applyFont="1" applyNumberFormat="1"/>
    <xf borderId="0" fillId="0" fontId="3" numFmtId="3" xfId="0" applyFont="1" applyNumberFormat="1"/>
    <xf borderId="0" fillId="0" fontId="3" numFmtId="10" xfId="0" applyFont="1" applyNumberFormat="1"/>
    <xf borderId="0" fillId="0" fontId="19" numFmtId="0" xfId="0" applyFont="1"/>
    <xf borderId="0" fillId="0" fontId="19" numFmtId="2" xfId="0" applyFont="1" applyNumberFormat="1"/>
    <xf borderId="0" fillId="0" fontId="19" numFmtId="3" xfId="0" applyFont="1" applyNumberFormat="1"/>
    <xf borderId="0" fillId="0" fontId="19" numFmtId="10" xfId="0" applyFont="1" applyNumberFormat="1"/>
    <xf borderId="0" fillId="0" fontId="19" numFmtId="0" xfId="0" applyFont="1"/>
    <xf borderId="0" fillId="0" fontId="3" numFmtId="3" xfId="0" applyFont="1" applyNumberFormat="1"/>
    <xf borderId="0" fillId="0" fontId="3" numFmtId="10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3">
    <tableStyle count="3" pivot="0" name="Mar 26-style">
      <tableStyleElement dxfId="1" type="headerRow"/>
      <tableStyleElement dxfId="2" type="firstRowStripe"/>
      <tableStyleElement dxfId="3" type="secondRowStripe"/>
    </tableStyle>
    <tableStyle count="3" pivot="0" name="Feb 26-style">
      <tableStyleElement dxfId="1" type="headerRow"/>
      <tableStyleElement dxfId="2" type="firstRowStripe"/>
      <tableStyleElement dxfId="3" type="secondRowStripe"/>
    </tableStyle>
    <tableStyle count="3" pivot="0" name="Selling Individual Car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carcity" id="{b457e07b-8128-44ba-a749-900c2a1bfc5d}" providerId="google-sheets"/>
  <x18tc:person displayName="Microsoft Office User" id="{d5dba7da-e897-4ffe-a213-ae4feec8e2d0}" providerId="google-sheets"/>
</x18tc:personList>
</file>

<file path=xl/tables/table1.xml><?xml version="1.0" encoding="utf-8"?>
<table xmlns="http://schemas.openxmlformats.org/spreadsheetml/2006/main" ref="A1:O44" displayName="Table_1" name="Table_1" id="1">
  <tableColumns count="15">
    <tableColumn name="Era" id="1"/>
    <tableColumn name="Date Released" id="2"/>
    <tableColumn name="Set Name" id="3"/>
    <tableColumn name="BB Price - Or 6 Booster Equivalent?" id="4"/>
    <tableColumn name="Set Value (GBP)" id="5"/>
    <tableColumn name="Top 3 Chase Cards" id="6"/>
    <tableColumn name="Box % of Set (Sort By Ascending)" id="7"/>
    <tableColumn name="Investor Rating" id="8"/>
    <tableColumn name="Chase Card % (Risk)" id="9"/>
    <tableColumn name="Print Status " id="10"/>
    <tableColumn name="Decision Matrix" id="11"/>
    <tableColumn name="Scarcity (Print Status)" id="12"/>
    <tableColumn name="Format Liquidity" id="13"/>
    <tableColumn name="Mascot Power" id="14"/>
    <tableColumn name="Set Depth" id="15"/>
  </tableColumns>
  <tableStyleInfo name="Mar 26-style" showColumnStripes="0" showFirstColumn="1" showLastColumn="1" showRowStripes="1"/>
</table>
</file>

<file path=xl/tables/table2.xml><?xml version="1.0" encoding="utf-8"?>
<table xmlns="http://schemas.openxmlformats.org/spreadsheetml/2006/main" ref="A1:O42" displayName="Table_2" name="Table_2" id="2">
  <tableColumns count="15">
    <tableColumn name="Era" id="1"/>
    <tableColumn name="Date Released" id="2"/>
    <tableColumn name="Set Name" id="3"/>
    <tableColumn name="BB Price - Or 4 Booster Equivalent?" id="4"/>
    <tableColumn name="Set Value (GBP)" id="5"/>
    <tableColumn name="Top 3 Chase Cards" id="6"/>
    <tableColumn name="Box % of Set (Sort By Ascending)" id="7"/>
    <tableColumn name="Investor Rating" id="8"/>
    <tableColumn name="Chase Card % (Risk)" id="9"/>
    <tableColumn name="Print Status " id="10"/>
    <tableColumn name="Decision Matrix" id="11"/>
    <tableColumn name="Scarcity (Print Status)" id="12"/>
    <tableColumn name="Format Liquidity" id="13"/>
    <tableColumn name="Mascot Power" id="14"/>
    <tableColumn name="Set Depth" id="15"/>
  </tableColumns>
  <tableStyleInfo name="Feb 26-style" showColumnStripes="0" showFirstColumn="1" showLastColumn="1" showRowStripes="1"/>
</table>
</file>

<file path=xl/tables/table3.xml><?xml version="1.0" encoding="utf-8"?>
<table xmlns="http://schemas.openxmlformats.org/spreadsheetml/2006/main" ref="A1:H16" displayName="Table_3" name="Table_3" id="3">
  <tableColumns count="8">
    <tableColumn name="Card Name" id="1"/>
    <tableColumn name="Raw Price " id="2"/>
    <tableColumn name="PSA 10 Price" id="3"/>
    <tableColumn name="Price Increase" id="4"/>
    <tableColumn name="Total Graded Copies" id="5"/>
    <tableColumn name="Total 10 Copies" id="6"/>
    <tableColumn name="10-Rate (Pop %)" id="7"/>
    <tableColumn name="Mascot? (Charizard, Pikachu, Umbreon, Gengar, Rayquaza, Special Illustration Rare (SIR) Trainers (like Lillie or Dawn), Competitive play cards)" id="8"/>
  </tableColumns>
  <tableStyleInfo name="Selling Individual C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6-04-07T11:06:22.00" personId="{b457e07b-8128-44ba-a749-900c2a1bfc5d}" id="{f643e940-010d-4e8c-83ed-203b84ce7746}" done="0">
    <x18tc:text xml:space="preserve">5 = Out of Print (OOP); 1 = Heavily Printed/Restocking</x18tc:text>
  </x18tc:threadedComment>
  <x18tc:threadedComment ref="N1" dT="2026-04-07T11:06:22.00" personId="{d5dba7da-e897-4ffe-a213-ae4feec8e2d0}" id="{ecf8d398-337c-40cc-b772-522285058b1a}" done="0">
    <x18tc:text xml:space="preserve">5 = Charizard/Eevee/Umbreon; 1 = No Big "Chases"</x18tc:text>
  </x18tc:threadedComment>
  <x18tc:threadedComment ref="O1" dT="2026-04-07T11:06:22.00" personId="{d5dba7da-e897-4ffe-a213-ae4feec8e2d0}" id="{74597459-018b-4399-9b7d-725fedb7aa53}" done="0">
    <x18tc:text xml:space="preserve">5 = Many Illustration Rares; 1 = Only 1-2 good cards</x18tc:text>
  </x18tc:threadedComment>
  <x18tc:threadedComment ref="M1" dT="2026-04-07T11:06:22.00" personId="{d5dba7da-e897-4ffe-a213-ae4feec8e2d0}" id="{1a8cd54b-e73f-4bdf-a031-7283e1bdca41}" done="0">
    <x18tc:text xml:space="preserve">5 = Booster Box (Fast Sell);
2=Booster Bundle
1 = Collection Box (Slow Sell)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" dT="2026-04-07T11:06:22.00" personId="{d5dba7da-e897-4ffe-a213-ae4feec8e2d0}" id="{4909e6b7-8b63-40f7-849d-ce9fef518bbf}" done="0">
    <x18tc:text xml:space="preserve">5 = Charizard/Eevee/Umbreon; 1 = No Big "Chases"</x18tc:text>
  </x18tc:threadedComment>
  <x18tc:threadedComment ref="M1" dT="2026-04-07T11:06:22.00" personId="{d5dba7da-e897-4ffe-a213-ae4feec8e2d0}" id="{678246ba-bd39-4616-85e5-cd89b040636c}" done="0">
    <x18tc:text xml:space="preserve">5 = Booster Box (Fast Sell);
2=Booster Bundle
1 = Collection Box (Slow Sell)</x18tc:text>
  </x18tc:threadedComment>
  <x18tc:threadedComment ref="O1" dT="2026-04-07T11:06:22.00" personId="{d5dba7da-e897-4ffe-a213-ae4feec8e2d0}" id="{bf305e6d-c8d9-406d-aef4-4cce944af887}" done="0">
    <x18tc:text xml:space="preserve">5 = Many Illustration Rares; 1 = Only 1-2 good cards</x18tc:text>
  </x18tc:threadedComment>
  <x18tc:threadedComment ref="L1" dT="2026-04-07T11:06:22.00" personId="{b457e07b-8128-44ba-a749-900c2a1bfc5d}" id="{d7d647b2-656d-43d7-99d7-9b9cdb831e80}" done="0">
    <x18tc:text xml:space="preserve">5 = Out of Print (OOP); 1 = Heavily Printed/Restocking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" dT="2026-04-07T11:06:22.00" personId="{d5dba7da-e897-4ffe-a213-ae4feec8e2d0}" id="{bd8be1ca-457e-446f-9b8a-b0c9ef8152e3}" done="0">
    <x18tc:text xml:space="preserve">5 = Many Illustration Rares; 1 = Only 1-2 good cards</x18tc:text>
  </x18tc:threadedComment>
  <x18tc:threadedComment ref="N1" dT="2026-04-07T11:06:22.00" personId="{d5dba7da-e897-4ffe-a213-ae4feec8e2d0}" id="{5a52c6e1-607b-4546-b441-8ea2fb0cb65e}" done="0">
    <x18tc:text xml:space="preserve">5 = Charizard/Eevee/Umbreon; 1 = No Big "Chases"</x18tc:text>
  </x18tc:threadedComment>
  <x18tc:threadedComment ref="M1" dT="2026-04-07T11:06:22.00" personId="{d5dba7da-e897-4ffe-a213-ae4feec8e2d0}" id="{be694584-ab27-4500-b21f-7deb863e200b}" done="0">
    <x18tc:text xml:space="preserve">5 = Booster Box (Fast Sell);
2=Booster Bundle
1 = Collection Box (Slow Sell)</x18tc:text>
  </x18tc:threadedComment>
  <x18tc:threadedComment ref="L1" dT="2026-04-07T11:06:22.00" personId="{b457e07b-8128-44ba-a749-900c2a1bfc5d}" id="{9938acb3-fccf-44ec-9486-34976720f34a}" done="0">
    <x18tc:text xml:space="preserve">5 = Out of Print (OOP); 1 = Heavily Printed/Restocking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47.44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 t="s">
        <v>15</v>
      </c>
      <c r="B2" s="3" t="s">
        <v>16</v>
      </c>
      <c r="C2" s="2" t="s">
        <v>17</v>
      </c>
      <c r="D2" s="4">
        <v>169.22</v>
      </c>
      <c r="E2" s="4">
        <v>777.43</v>
      </c>
      <c r="F2" s="5" t="s">
        <v>18</v>
      </c>
      <c r="G2" s="6">
        <v>0.2177</v>
      </c>
      <c r="H2" s="2" t="s">
        <v>19</v>
      </c>
      <c r="I2" s="7">
        <v>0.4645</v>
      </c>
      <c r="J2" s="2" t="s">
        <v>20</v>
      </c>
      <c r="K2" s="8">
        <v>13.0</v>
      </c>
      <c r="L2" s="2">
        <v>2.0</v>
      </c>
      <c r="M2" s="2">
        <v>5.0</v>
      </c>
      <c r="N2" s="9">
        <v>3.0</v>
      </c>
      <c r="O2" s="2">
        <v>3.0</v>
      </c>
    </row>
    <row r="3" ht="18.0" customHeight="1">
      <c r="A3" s="10" t="s">
        <v>15</v>
      </c>
      <c r="B3" s="11">
        <v>46023.0</v>
      </c>
      <c r="C3" s="12" t="s">
        <v>21</v>
      </c>
      <c r="D3" s="13">
        <v>451.22</v>
      </c>
      <c r="E3" s="13">
        <v>1809.69</v>
      </c>
      <c r="F3" s="14" t="s">
        <v>22</v>
      </c>
      <c r="G3" s="15">
        <v>0.2493</v>
      </c>
      <c r="H3" s="14" t="s">
        <v>19</v>
      </c>
      <c r="I3" s="16">
        <v>0.7517</v>
      </c>
      <c r="J3" s="17"/>
      <c r="K3" s="18">
        <v>16.0</v>
      </c>
      <c r="L3" s="19">
        <v>2.0</v>
      </c>
      <c r="M3" s="19">
        <v>5.0</v>
      </c>
      <c r="N3" s="19">
        <v>4.0</v>
      </c>
      <c r="O3" s="19">
        <v>5.0</v>
      </c>
    </row>
    <row r="4" ht="18.0" customHeight="1">
      <c r="A4" s="20" t="s">
        <v>15</v>
      </c>
      <c r="B4" s="11">
        <v>45962.0</v>
      </c>
      <c r="C4" s="12" t="s">
        <v>23</v>
      </c>
      <c r="D4" s="13">
        <v>372.79</v>
      </c>
      <c r="E4" s="13">
        <v>1044.44</v>
      </c>
      <c r="F4" s="14" t="s">
        <v>24</v>
      </c>
      <c r="G4" s="15">
        <v>0.3569</v>
      </c>
      <c r="H4" s="14" t="s">
        <v>19</v>
      </c>
      <c r="I4" s="16">
        <v>0.8244</v>
      </c>
      <c r="J4" s="17"/>
      <c r="K4" s="18">
        <v>17.0</v>
      </c>
      <c r="L4" s="19">
        <v>2.0</v>
      </c>
      <c r="M4" s="19">
        <v>5.0</v>
      </c>
      <c r="N4" s="19">
        <v>5.0</v>
      </c>
      <c r="O4" s="19">
        <v>5.0</v>
      </c>
    </row>
    <row r="5" ht="18.0" customHeight="1">
      <c r="A5" s="10" t="s">
        <v>25</v>
      </c>
      <c r="B5" s="11">
        <v>45901.0</v>
      </c>
      <c r="C5" s="21" t="s">
        <v>26</v>
      </c>
      <c r="D5" s="22">
        <v>240.67</v>
      </c>
      <c r="E5" s="22">
        <v>1020.74</v>
      </c>
      <c r="F5" s="20" t="s">
        <v>27</v>
      </c>
      <c r="G5" s="15">
        <v>0.2358</v>
      </c>
      <c r="H5" s="20" t="s">
        <v>19</v>
      </c>
      <c r="I5" s="23">
        <v>0.4532</v>
      </c>
      <c r="J5" s="24"/>
      <c r="K5" s="25">
        <v>15.0</v>
      </c>
      <c r="L5" s="19">
        <v>3.0</v>
      </c>
      <c r="M5" s="19">
        <v>5.0</v>
      </c>
      <c r="N5" s="26">
        <v>4.0</v>
      </c>
      <c r="O5" s="19">
        <v>3.0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0" customHeight="1">
      <c r="A6" s="10" t="s">
        <v>25</v>
      </c>
      <c r="B6" s="11">
        <v>45839.0</v>
      </c>
      <c r="C6" s="12" t="s">
        <v>28</v>
      </c>
      <c r="D6" s="13">
        <v>379.92</v>
      </c>
      <c r="E6" s="13">
        <v>1673.88</v>
      </c>
      <c r="F6" s="14" t="s">
        <v>29</v>
      </c>
      <c r="G6" s="15">
        <v>0.227</v>
      </c>
      <c r="H6" s="14" t="s">
        <v>19</v>
      </c>
      <c r="I6" s="23">
        <v>0.483</v>
      </c>
      <c r="J6" s="24"/>
      <c r="K6" s="25">
        <v>13.0</v>
      </c>
      <c r="L6" s="19">
        <v>2.0</v>
      </c>
      <c r="M6" s="19">
        <v>5.0</v>
      </c>
      <c r="N6" s="28">
        <v>3.0</v>
      </c>
      <c r="O6" s="19">
        <v>3.0</v>
      </c>
    </row>
    <row r="7" ht="18.0" customHeight="1">
      <c r="A7" s="29" t="s">
        <v>30</v>
      </c>
      <c r="B7" s="30">
        <v>45839.0</v>
      </c>
      <c r="C7" s="31" t="s">
        <v>31</v>
      </c>
      <c r="D7" s="32">
        <v>330.92</v>
      </c>
      <c r="E7" s="32">
        <v>1304.69</v>
      </c>
      <c r="F7" s="33" t="s">
        <v>32</v>
      </c>
      <c r="G7" s="15">
        <v>0.2536</v>
      </c>
      <c r="H7" s="33" t="s">
        <v>19</v>
      </c>
      <c r="I7" s="34">
        <v>0.3471</v>
      </c>
      <c r="J7" s="35"/>
      <c r="K7" s="36">
        <v>14.0</v>
      </c>
      <c r="L7" s="28">
        <v>2.0</v>
      </c>
      <c r="M7" s="28">
        <v>5.0</v>
      </c>
      <c r="N7" s="28">
        <v>4.0</v>
      </c>
      <c r="O7" s="28">
        <v>3.0</v>
      </c>
    </row>
    <row r="8" ht="18.0" customHeight="1">
      <c r="A8" s="10" t="s">
        <v>25</v>
      </c>
      <c r="B8" s="11">
        <v>45778.0</v>
      </c>
      <c r="C8" s="21" t="s">
        <v>33</v>
      </c>
      <c r="D8" s="22">
        <v>488.85</v>
      </c>
      <c r="E8" s="22">
        <v>1322.83</v>
      </c>
      <c r="F8" s="20" t="s">
        <v>34</v>
      </c>
      <c r="G8" s="15">
        <v>0.3695</v>
      </c>
      <c r="H8" s="20" t="s">
        <v>19</v>
      </c>
      <c r="I8" s="16">
        <v>0.5115</v>
      </c>
      <c r="J8" s="24"/>
      <c r="K8" s="18">
        <v>16.0</v>
      </c>
      <c r="L8" s="19">
        <v>2.0</v>
      </c>
      <c r="M8" s="19">
        <v>5.0</v>
      </c>
      <c r="N8" s="19">
        <v>4.0</v>
      </c>
      <c r="O8" s="19">
        <v>5.0</v>
      </c>
    </row>
    <row r="9" ht="18.0" customHeight="1">
      <c r="A9" s="37" t="s">
        <v>25</v>
      </c>
      <c r="B9" s="38">
        <v>45717.0</v>
      </c>
      <c r="C9" s="39" t="s">
        <v>35</v>
      </c>
      <c r="D9" s="40">
        <v>225.62</v>
      </c>
      <c r="E9" s="40">
        <v>424.85</v>
      </c>
      <c r="F9" s="41" t="s">
        <v>36</v>
      </c>
      <c r="G9" s="42">
        <v>0.5311</v>
      </c>
      <c r="H9" s="41" t="s">
        <v>19</v>
      </c>
      <c r="I9" s="34">
        <v>0.4155</v>
      </c>
      <c r="J9" s="43"/>
      <c r="K9" s="36">
        <v>15.0</v>
      </c>
      <c r="L9" s="44">
        <v>2.0</v>
      </c>
      <c r="M9" s="44">
        <v>5.0</v>
      </c>
      <c r="N9" s="44">
        <v>3.0</v>
      </c>
      <c r="O9" s="44">
        <v>5.0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8.0" customHeight="1">
      <c r="A10" s="46" t="s">
        <v>25</v>
      </c>
      <c r="B10" s="47">
        <v>45658.0</v>
      </c>
      <c r="C10" s="48" t="s">
        <v>37</v>
      </c>
      <c r="D10" s="49">
        <v>938.6</v>
      </c>
      <c r="E10" s="49">
        <v>3804.18</v>
      </c>
      <c r="F10" s="50" t="s">
        <v>38</v>
      </c>
      <c r="G10" s="15">
        <v>0.2467</v>
      </c>
      <c r="H10" s="50" t="s">
        <v>19</v>
      </c>
      <c r="I10" s="34">
        <v>0.4215</v>
      </c>
      <c r="J10" s="51"/>
      <c r="K10" s="52">
        <v>17.0</v>
      </c>
      <c r="L10" s="53">
        <v>2.0</v>
      </c>
      <c r="M10" s="53">
        <v>5.0</v>
      </c>
      <c r="N10" s="53">
        <v>5.0</v>
      </c>
      <c r="O10" s="53">
        <v>5.0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8.0" customHeight="1">
      <c r="A11" s="55" t="s">
        <v>25</v>
      </c>
      <c r="B11" s="56">
        <v>45597.0</v>
      </c>
      <c r="C11" s="57" t="s">
        <v>39</v>
      </c>
      <c r="D11" s="58">
        <v>244.38</v>
      </c>
      <c r="E11" s="58">
        <v>840.75</v>
      </c>
      <c r="F11" s="59" t="s">
        <v>40</v>
      </c>
      <c r="G11" s="15">
        <v>0.2907</v>
      </c>
      <c r="H11" s="59" t="s">
        <v>19</v>
      </c>
      <c r="I11" s="60">
        <v>0.5111</v>
      </c>
      <c r="J11" s="61" t="s">
        <v>41</v>
      </c>
      <c r="K11" s="36">
        <v>13.0</v>
      </c>
      <c r="L11" s="62">
        <v>1.0</v>
      </c>
      <c r="M11" s="62">
        <v>5.0</v>
      </c>
      <c r="N11" s="62">
        <v>4.0</v>
      </c>
      <c r="O11" s="62">
        <v>3.0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8.0" customHeight="1">
      <c r="A12" s="29" t="s">
        <v>25</v>
      </c>
      <c r="B12" s="30">
        <v>45536.0</v>
      </c>
      <c r="C12" s="31" t="s">
        <v>42</v>
      </c>
      <c r="D12" s="32">
        <v>263.22</v>
      </c>
      <c r="E12" s="32">
        <v>421.75</v>
      </c>
      <c r="F12" s="33" t="s">
        <v>43</v>
      </c>
      <c r="G12" s="42">
        <v>0.6241</v>
      </c>
      <c r="H12" s="33" t="s">
        <v>19</v>
      </c>
      <c r="I12" s="34">
        <v>0.4862</v>
      </c>
      <c r="J12" s="35" t="s">
        <v>41</v>
      </c>
      <c r="K12" s="36">
        <v>12.0</v>
      </c>
      <c r="L12" s="28">
        <v>1.0</v>
      </c>
      <c r="M12" s="28">
        <v>5.0</v>
      </c>
      <c r="N12" s="28">
        <v>3.0</v>
      </c>
      <c r="O12" s="28">
        <v>3.0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8.0" customHeight="1">
      <c r="A13" s="37" t="s">
        <v>25</v>
      </c>
      <c r="B13" s="38">
        <v>45505.0</v>
      </c>
      <c r="C13" s="39" t="s">
        <v>44</v>
      </c>
      <c r="D13" s="40">
        <v>300.83</v>
      </c>
      <c r="E13" s="40">
        <v>376.39</v>
      </c>
      <c r="F13" s="41" t="s">
        <v>45</v>
      </c>
      <c r="G13" s="63">
        <v>0.7993</v>
      </c>
      <c r="H13" s="41" t="s">
        <v>46</v>
      </c>
      <c r="I13" s="34">
        <v>0.2859</v>
      </c>
      <c r="J13" s="43" t="s">
        <v>41</v>
      </c>
      <c r="K13" s="64">
        <v>11.0</v>
      </c>
      <c r="L13" s="44">
        <v>1.0</v>
      </c>
      <c r="M13" s="44">
        <v>5.0</v>
      </c>
      <c r="N13" s="44">
        <v>2.0</v>
      </c>
      <c r="O13" s="44">
        <v>3.0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8.0" customHeight="1">
      <c r="A14" s="65" t="s">
        <v>25</v>
      </c>
      <c r="B14" s="66">
        <v>45413.0</v>
      </c>
      <c r="C14" s="67" t="s">
        <v>47</v>
      </c>
      <c r="D14" s="68">
        <v>296.06</v>
      </c>
      <c r="E14" s="68">
        <v>936.68</v>
      </c>
      <c r="F14" s="69" t="s">
        <v>48</v>
      </c>
      <c r="G14" s="15">
        <v>0.3161</v>
      </c>
      <c r="H14" s="69" t="s">
        <v>19</v>
      </c>
      <c r="I14" s="34">
        <v>0.4594</v>
      </c>
      <c r="J14" s="70" t="s">
        <v>41</v>
      </c>
      <c r="K14" s="36">
        <v>14.0</v>
      </c>
      <c r="L14" s="71">
        <v>2.0</v>
      </c>
      <c r="M14" s="71">
        <v>5.0</v>
      </c>
      <c r="N14" s="71">
        <v>4.0</v>
      </c>
      <c r="O14" s="71">
        <v>3.0</v>
      </c>
    </row>
    <row r="15" ht="18.0" customHeight="1">
      <c r="A15" s="72" t="s">
        <v>25</v>
      </c>
      <c r="B15" s="73">
        <v>45352.0</v>
      </c>
      <c r="C15" s="74" t="s">
        <v>49</v>
      </c>
      <c r="D15" s="75">
        <v>244.43</v>
      </c>
      <c r="E15" s="75">
        <v>726.76</v>
      </c>
      <c r="F15" s="76" t="s">
        <v>50</v>
      </c>
      <c r="G15" s="15">
        <v>0.3363</v>
      </c>
      <c r="H15" s="76" t="s">
        <v>19</v>
      </c>
      <c r="I15" s="23">
        <v>0.2389</v>
      </c>
      <c r="J15" s="77" t="s">
        <v>41</v>
      </c>
      <c r="K15" s="25">
        <v>12.0</v>
      </c>
      <c r="L15" s="78">
        <v>1.0</v>
      </c>
      <c r="M15" s="78">
        <v>5.0</v>
      </c>
      <c r="N15" s="78">
        <v>3.0</v>
      </c>
      <c r="O15" s="78">
        <v>3.0</v>
      </c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8.0" customHeight="1">
      <c r="A16" s="37" t="s">
        <v>25</v>
      </c>
      <c r="B16" s="79">
        <v>45292.0</v>
      </c>
      <c r="C16" s="39" t="s">
        <v>51</v>
      </c>
      <c r="D16" s="40">
        <v>1470.72</v>
      </c>
      <c r="E16" s="40">
        <v>1590.39</v>
      </c>
      <c r="F16" s="41" t="s">
        <v>52</v>
      </c>
      <c r="G16" s="63">
        <v>0.9248</v>
      </c>
      <c r="H16" s="41" t="s">
        <v>19</v>
      </c>
      <c r="I16" s="60">
        <v>0.587</v>
      </c>
      <c r="J16" s="43" t="s">
        <v>53</v>
      </c>
      <c r="K16" s="52">
        <v>17.0</v>
      </c>
      <c r="L16" s="44">
        <v>2.0</v>
      </c>
      <c r="M16" s="44">
        <v>5.0</v>
      </c>
      <c r="N16" s="44">
        <v>5.0</v>
      </c>
      <c r="O16" s="44">
        <v>5.0</v>
      </c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8.0" customHeight="1">
      <c r="A17" s="65" t="s">
        <v>25</v>
      </c>
      <c r="B17" s="79">
        <v>45231.0</v>
      </c>
      <c r="C17" s="67" t="s">
        <v>54</v>
      </c>
      <c r="D17" s="68">
        <v>225.63</v>
      </c>
      <c r="E17" s="68">
        <v>732.98</v>
      </c>
      <c r="F17" s="69" t="s">
        <v>55</v>
      </c>
      <c r="G17" s="15">
        <v>0.3078</v>
      </c>
      <c r="H17" s="69" t="s">
        <v>19</v>
      </c>
      <c r="I17" s="34">
        <v>0.1994</v>
      </c>
      <c r="J17" s="70" t="s">
        <v>53</v>
      </c>
      <c r="K17" s="36">
        <v>13.0</v>
      </c>
      <c r="L17" s="71">
        <v>2.0</v>
      </c>
      <c r="M17" s="71">
        <v>5.0</v>
      </c>
      <c r="N17" s="71">
        <v>3.0</v>
      </c>
      <c r="O17" s="71">
        <v>3.0</v>
      </c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8.0" customHeight="1">
      <c r="A18" s="55" t="s">
        <v>25</v>
      </c>
      <c r="B18" s="79">
        <v>45170.0</v>
      </c>
      <c r="C18" s="81">
        <v>151.0</v>
      </c>
      <c r="D18" s="58">
        <v>2214.14</v>
      </c>
      <c r="E18" s="58">
        <v>1723.88</v>
      </c>
      <c r="F18" s="59" t="s">
        <v>56</v>
      </c>
      <c r="G18" s="82">
        <v>1.2844</v>
      </c>
      <c r="H18" s="59" t="s">
        <v>19</v>
      </c>
      <c r="I18" s="34">
        <v>0.3087</v>
      </c>
      <c r="J18" s="83" t="s">
        <v>53</v>
      </c>
      <c r="K18" s="52">
        <v>17.0</v>
      </c>
      <c r="L18" s="62">
        <v>2.0</v>
      </c>
      <c r="M18" s="62">
        <v>5.0</v>
      </c>
      <c r="N18" s="62">
        <v>5.0</v>
      </c>
      <c r="O18" s="62">
        <v>5.0</v>
      </c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3.0" customHeight="1">
      <c r="A19" s="84" t="s">
        <v>25</v>
      </c>
      <c r="B19" s="85">
        <v>45139.0</v>
      </c>
      <c r="C19" s="86" t="s">
        <v>57</v>
      </c>
      <c r="D19" s="87">
        <v>310.23</v>
      </c>
      <c r="E19" s="87">
        <v>382.35</v>
      </c>
      <c r="F19" s="88" t="s">
        <v>58</v>
      </c>
      <c r="G19" s="63">
        <v>0.8114</v>
      </c>
      <c r="H19" s="89" t="s">
        <v>19</v>
      </c>
      <c r="I19" s="23">
        <v>0.3987</v>
      </c>
      <c r="J19" s="90" t="s">
        <v>53</v>
      </c>
      <c r="K19" s="18">
        <v>17.0</v>
      </c>
      <c r="L19" s="91">
        <v>2.0</v>
      </c>
      <c r="M19" s="91">
        <v>5.0</v>
      </c>
      <c r="N19" s="91">
        <v>5.0</v>
      </c>
      <c r="O19" s="91">
        <v>5.0</v>
      </c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8.0" customHeight="1">
      <c r="A20" s="65" t="s">
        <v>25</v>
      </c>
      <c r="B20" s="79">
        <v>45078.0</v>
      </c>
      <c r="C20" s="67" t="s">
        <v>59</v>
      </c>
      <c r="D20" s="68">
        <v>376.04</v>
      </c>
      <c r="E20" s="68">
        <v>1234.73</v>
      </c>
      <c r="F20" s="69" t="s">
        <v>60</v>
      </c>
      <c r="G20" s="15">
        <v>0.3046</v>
      </c>
      <c r="H20" s="69" t="s">
        <v>19</v>
      </c>
      <c r="I20" s="34">
        <v>0.312</v>
      </c>
      <c r="J20" s="70" t="s">
        <v>53</v>
      </c>
      <c r="K20" s="36">
        <v>13.0</v>
      </c>
      <c r="L20" s="71">
        <v>2.0</v>
      </c>
      <c r="M20" s="71">
        <v>5.0</v>
      </c>
      <c r="N20" s="71">
        <v>3.0</v>
      </c>
      <c r="O20" s="71">
        <v>3.0</v>
      </c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8.0" customHeight="1">
      <c r="A21" s="93" t="s">
        <v>25</v>
      </c>
      <c r="B21" s="79">
        <v>44986.0</v>
      </c>
      <c r="C21" s="94" t="s">
        <v>61</v>
      </c>
      <c r="D21" s="95">
        <v>225.62</v>
      </c>
      <c r="E21" s="95">
        <v>555.26</v>
      </c>
      <c r="F21" s="96" t="s">
        <v>62</v>
      </c>
      <c r="G21" s="15">
        <v>0.4063</v>
      </c>
      <c r="H21" s="96" t="s">
        <v>19</v>
      </c>
      <c r="I21" s="34">
        <v>0.2452</v>
      </c>
      <c r="J21" s="97" t="s">
        <v>53</v>
      </c>
      <c r="K21" s="36">
        <v>13.0</v>
      </c>
      <c r="L21" s="98">
        <v>2.0</v>
      </c>
      <c r="M21" s="98">
        <v>5.0</v>
      </c>
      <c r="N21" s="98">
        <v>3.0</v>
      </c>
      <c r="O21" s="98">
        <v>3.0</v>
      </c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8.0" customHeight="1">
      <c r="A22" s="65" t="s">
        <v>63</v>
      </c>
      <c r="B22" s="79">
        <v>44927.0</v>
      </c>
      <c r="C22" s="67" t="s">
        <v>64</v>
      </c>
      <c r="D22" s="68">
        <v>1052.92</v>
      </c>
      <c r="E22" s="68">
        <v>1633.14</v>
      </c>
      <c r="F22" s="69" t="s">
        <v>65</v>
      </c>
      <c r="G22" s="42">
        <v>0.6447</v>
      </c>
      <c r="H22" s="69" t="s">
        <v>66</v>
      </c>
      <c r="I22" s="34">
        <v>0.2856</v>
      </c>
      <c r="J22" s="70"/>
      <c r="K22" s="52">
        <v>19.0</v>
      </c>
      <c r="L22" s="71">
        <v>5.0</v>
      </c>
      <c r="M22" s="71">
        <v>5.0</v>
      </c>
      <c r="N22" s="71">
        <v>4.0</v>
      </c>
      <c r="O22" s="71">
        <v>5.0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8.0" customHeight="1">
      <c r="A23" s="65" t="s">
        <v>63</v>
      </c>
      <c r="B23" s="79">
        <v>44866.0</v>
      </c>
      <c r="C23" s="67" t="s">
        <v>67</v>
      </c>
      <c r="D23" s="68">
        <v>413.65</v>
      </c>
      <c r="E23" s="68">
        <v>896.32</v>
      </c>
      <c r="F23" s="69" t="s">
        <v>68</v>
      </c>
      <c r="G23" s="15">
        <v>0.4615</v>
      </c>
      <c r="H23" s="69" t="s">
        <v>69</v>
      </c>
      <c r="I23" s="34">
        <v>0.4687</v>
      </c>
      <c r="J23" s="70"/>
      <c r="K23" s="52">
        <v>18.0</v>
      </c>
      <c r="L23" s="71">
        <v>4.0</v>
      </c>
      <c r="M23" s="71">
        <v>5.0</v>
      </c>
      <c r="N23" s="71">
        <v>4.0</v>
      </c>
      <c r="O23" s="71">
        <v>5.0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8.0" customHeight="1">
      <c r="A24" s="65" t="s">
        <v>63</v>
      </c>
      <c r="B24" s="79">
        <v>44805.0</v>
      </c>
      <c r="C24" s="67" t="s">
        <v>70</v>
      </c>
      <c r="D24" s="68">
        <v>676.87</v>
      </c>
      <c r="E24" s="68">
        <v>1250.59</v>
      </c>
      <c r="F24" s="69" t="s">
        <v>71</v>
      </c>
      <c r="G24" s="42">
        <v>0.5412</v>
      </c>
      <c r="H24" s="69" t="s">
        <v>66</v>
      </c>
      <c r="I24" s="60">
        <v>0.5722</v>
      </c>
      <c r="J24" s="70"/>
      <c r="K24" s="52">
        <v>19.0</v>
      </c>
      <c r="L24" s="71">
        <v>5.0</v>
      </c>
      <c r="M24" s="71">
        <v>5.0</v>
      </c>
      <c r="N24" s="71">
        <v>4.0</v>
      </c>
      <c r="O24" s="71">
        <v>5.0</v>
      </c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8.0" customHeight="1">
      <c r="A25" s="93" t="s">
        <v>63</v>
      </c>
      <c r="B25" s="79">
        <v>44682.0</v>
      </c>
      <c r="C25" s="94" t="s">
        <v>72</v>
      </c>
      <c r="D25" s="95">
        <v>364.76</v>
      </c>
      <c r="E25" s="95">
        <v>834.23</v>
      </c>
      <c r="F25" s="96" t="s">
        <v>73</v>
      </c>
      <c r="G25" s="15">
        <v>0.4372</v>
      </c>
      <c r="H25" s="96" t="s">
        <v>69</v>
      </c>
      <c r="I25" s="34">
        <v>0.2719</v>
      </c>
      <c r="J25" s="97"/>
      <c r="K25" s="52">
        <v>17.0</v>
      </c>
      <c r="L25" s="98">
        <v>4.0</v>
      </c>
      <c r="M25" s="98">
        <v>5.0</v>
      </c>
      <c r="N25" s="98">
        <v>3.0</v>
      </c>
      <c r="O25" s="98">
        <v>5.0</v>
      </c>
    </row>
    <row r="26" ht="18.0" customHeight="1">
      <c r="A26" s="72" t="s">
        <v>63</v>
      </c>
      <c r="B26" s="85">
        <v>44593.0</v>
      </c>
      <c r="C26" s="74" t="s">
        <v>74</v>
      </c>
      <c r="D26" s="75">
        <v>526.46</v>
      </c>
      <c r="E26" s="75">
        <v>988.52</v>
      </c>
      <c r="F26" s="76" t="s">
        <v>75</v>
      </c>
      <c r="G26" s="42">
        <v>0.5326</v>
      </c>
      <c r="H26" s="76" t="s">
        <v>66</v>
      </c>
      <c r="I26" s="23">
        <v>0.3547</v>
      </c>
      <c r="J26" s="77"/>
      <c r="K26" s="18">
        <v>20.0</v>
      </c>
      <c r="L26" s="78">
        <v>5.0</v>
      </c>
      <c r="M26" s="78">
        <v>5.0</v>
      </c>
      <c r="N26" s="78">
        <v>5.0</v>
      </c>
      <c r="O26" s="78">
        <v>5.0</v>
      </c>
    </row>
    <row r="27" ht="18.0" customHeight="1">
      <c r="A27" s="29" t="s">
        <v>63</v>
      </c>
      <c r="B27" s="79">
        <v>44501.0</v>
      </c>
      <c r="C27" s="31" t="s">
        <v>76</v>
      </c>
      <c r="D27" s="32">
        <v>902.46</v>
      </c>
      <c r="E27" s="32">
        <v>1467.45</v>
      </c>
      <c r="F27" s="33" t="s">
        <v>77</v>
      </c>
      <c r="G27" s="42">
        <v>0.615</v>
      </c>
      <c r="H27" s="33" t="s">
        <v>66</v>
      </c>
      <c r="I27" s="60">
        <v>0.6629</v>
      </c>
      <c r="J27" s="35"/>
      <c r="K27" s="52">
        <v>19.0</v>
      </c>
      <c r="L27" s="28">
        <v>5.0</v>
      </c>
      <c r="M27" s="28">
        <v>5.0</v>
      </c>
      <c r="N27" s="28">
        <v>4.0</v>
      </c>
      <c r="O27" s="28">
        <v>5.0</v>
      </c>
    </row>
    <row r="28" ht="18.0" customHeight="1">
      <c r="A28" s="65" t="s">
        <v>63</v>
      </c>
      <c r="B28" s="79">
        <v>44470.0</v>
      </c>
      <c r="C28" s="67" t="s">
        <v>78</v>
      </c>
      <c r="D28" s="68">
        <v>1263.47</v>
      </c>
      <c r="E28" s="68">
        <v>474.02</v>
      </c>
      <c r="F28" s="69" t="s">
        <v>79</v>
      </c>
      <c r="G28" s="82">
        <v>2.6654</v>
      </c>
      <c r="H28" s="69" t="s">
        <v>66</v>
      </c>
      <c r="I28" s="60">
        <v>0.5408</v>
      </c>
      <c r="J28" s="70"/>
      <c r="K28" s="52">
        <v>19.0</v>
      </c>
      <c r="L28" s="71">
        <v>4.0</v>
      </c>
      <c r="M28" s="71">
        <v>5.0</v>
      </c>
      <c r="N28" s="71">
        <v>5.0</v>
      </c>
      <c r="O28" s="71">
        <v>5.0</v>
      </c>
    </row>
    <row r="29" ht="18.0" customHeight="1">
      <c r="A29" s="10" t="s">
        <v>63</v>
      </c>
      <c r="B29" s="85">
        <v>44409.0</v>
      </c>
      <c r="C29" s="12" t="s">
        <v>80</v>
      </c>
      <c r="D29" s="13">
        <v>2619.13</v>
      </c>
      <c r="E29" s="13">
        <v>4759.5</v>
      </c>
      <c r="F29" s="14" t="s">
        <v>81</v>
      </c>
      <c r="G29" s="42">
        <v>0.5503</v>
      </c>
      <c r="H29" s="20" t="s">
        <v>69</v>
      </c>
      <c r="I29" s="23">
        <v>0.476</v>
      </c>
      <c r="J29" s="24" t="s">
        <v>82</v>
      </c>
      <c r="K29" s="18">
        <v>19.0</v>
      </c>
      <c r="L29" s="19">
        <v>4.0</v>
      </c>
      <c r="M29" s="19">
        <v>5.0</v>
      </c>
      <c r="N29" s="19">
        <v>5.0</v>
      </c>
      <c r="O29" s="19">
        <v>5.0</v>
      </c>
    </row>
    <row r="30" ht="18.0" customHeight="1">
      <c r="A30" s="72" t="s">
        <v>63</v>
      </c>
      <c r="B30" s="85">
        <v>44348.0</v>
      </c>
      <c r="C30" s="74" t="s">
        <v>83</v>
      </c>
      <c r="D30" s="75">
        <v>451.25</v>
      </c>
      <c r="E30" s="75">
        <v>1294.81</v>
      </c>
      <c r="F30" s="76" t="s">
        <v>84</v>
      </c>
      <c r="G30" s="15">
        <v>0.3485</v>
      </c>
      <c r="H30" s="76" t="s">
        <v>69</v>
      </c>
      <c r="I30" s="23">
        <v>0.3768</v>
      </c>
      <c r="J30" s="77"/>
      <c r="K30" s="18">
        <v>17.0</v>
      </c>
      <c r="L30" s="78">
        <v>4.0</v>
      </c>
      <c r="M30" s="78">
        <v>5.0</v>
      </c>
      <c r="N30" s="78">
        <v>3.0</v>
      </c>
      <c r="O30" s="78">
        <v>5.0</v>
      </c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8.0" customHeight="1">
      <c r="A31" s="99" t="s">
        <v>63</v>
      </c>
      <c r="B31" s="85">
        <v>44256.0</v>
      </c>
      <c r="C31" s="100" t="s">
        <v>85</v>
      </c>
      <c r="D31" s="101">
        <v>225.63</v>
      </c>
      <c r="E31" s="101">
        <v>570.76</v>
      </c>
      <c r="F31" s="102" t="s">
        <v>86</v>
      </c>
      <c r="G31" s="15">
        <v>0.3953</v>
      </c>
      <c r="H31" s="102" t="s">
        <v>69</v>
      </c>
      <c r="I31" s="23">
        <v>0.4807</v>
      </c>
      <c r="J31" s="103"/>
      <c r="K31" s="18">
        <v>17.0</v>
      </c>
      <c r="L31" s="104">
        <v>4.0</v>
      </c>
      <c r="M31" s="104">
        <v>5.0</v>
      </c>
      <c r="N31" s="104">
        <v>3.0</v>
      </c>
      <c r="O31" s="104">
        <v>5.0</v>
      </c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8.0" customHeight="1">
      <c r="A32" s="10" t="s">
        <v>63</v>
      </c>
      <c r="B32" s="85">
        <v>44228.0</v>
      </c>
      <c r="C32" s="12" t="s">
        <v>87</v>
      </c>
      <c r="D32" s="13">
        <v>451.25</v>
      </c>
      <c r="E32" s="13">
        <v>463.28</v>
      </c>
      <c r="F32" s="14" t="s">
        <v>88</v>
      </c>
      <c r="G32" s="63">
        <v>0.974</v>
      </c>
      <c r="H32" s="14" t="s">
        <v>66</v>
      </c>
      <c r="I32" s="23">
        <v>0.2818</v>
      </c>
      <c r="J32" s="17"/>
      <c r="K32" s="18">
        <v>19.0</v>
      </c>
      <c r="L32" s="19">
        <v>4.0</v>
      </c>
      <c r="M32" s="19">
        <v>5.0</v>
      </c>
      <c r="N32" s="19">
        <v>5.0</v>
      </c>
      <c r="O32" s="19">
        <v>5.0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8.0" customHeight="1">
      <c r="A33" s="84" t="s">
        <v>63</v>
      </c>
      <c r="B33" s="85">
        <v>44136.0</v>
      </c>
      <c r="C33" s="86" t="s">
        <v>89</v>
      </c>
      <c r="D33" s="87">
        <v>259.47</v>
      </c>
      <c r="E33" s="87">
        <v>381.42</v>
      </c>
      <c r="F33" s="88" t="s">
        <v>90</v>
      </c>
      <c r="G33" s="42">
        <v>0.6803</v>
      </c>
      <c r="H33" s="88" t="s">
        <v>66</v>
      </c>
      <c r="I33" s="23">
        <v>0.4062</v>
      </c>
      <c r="J33" s="90"/>
      <c r="K33" s="18">
        <v>19.0</v>
      </c>
      <c r="L33" s="91">
        <v>4.0</v>
      </c>
      <c r="M33" s="91">
        <v>5.0</v>
      </c>
      <c r="N33" s="91">
        <v>5.0</v>
      </c>
      <c r="O33" s="91">
        <v>5.0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8.0" customHeight="1">
      <c r="A34" s="29" t="s">
        <v>63</v>
      </c>
      <c r="B34" s="79">
        <v>44075.0</v>
      </c>
      <c r="C34" s="31" t="s">
        <v>91</v>
      </c>
      <c r="D34" s="32">
        <v>601.64</v>
      </c>
      <c r="E34" s="32">
        <v>379.49</v>
      </c>
      <c r="F34" s="33" t="s">
        <v>92</v>
      </c>
      <c r="G34" s="82">
        <v>1.5854</v>
      </c>
      <c r="H34" s="33" t="s">
        <v>66</v>
      </c>
      <c r="I34" s="60">
        <v>0.8584</v>
      </c>
      <c r="J34" s="35"/>
      <c r="K34" s="52">
        <v>19.0</v>
      </c>
      <c r="L34" s="28">
        <v>4.0</v>
      </c>
      <c r="M34" s="28">
        <v>5.0</v>
      </c>
      <c r="N34" s="28">
        <v>5.0</v>
      </c>
      <c r="O34" s="28">
        <v>5.0</v>
      </c>
    </row>
    <row r="35" ht="18.0" customHeight="1">
      <c r="A35" s="10" t="s">
        <v>63</v>
      </c>
      <c r="B35" s="85">
        <v>44044.0</v>
      </c>
      <c r="C35" s="12" t="s">
        <v>93</v>
      </c>
      <c r="D35" s="13">
        <v>298.92</v>
      </c>
      <c r="E35" s="13">
        <v>215.13</v>
      </c>
      <c r="F35" s="14" t="s">
        <v>94</v>
      </c>
      <c r="G35" s="82">
        <v>1.3895</v>
      </c>
      <c r="H35" s="14" t="s">
        <v>66</v>
      </c>
      <c r="I35" s="23">
        <v>0.2615</v>
      </c>
      <c r="J35" s="24"/>
      <c r="K35" s="18">
        <v>19.0</v>
      </c>
      <c r="L35" s="19">
        <v>4.0</v>
      </c>
      <c r="M35" s="19">
        <v>5.0</v>
      </c>
      <c r="N35" s="19">
        <v>5.0</v>
      </c>
      <c r="O35" s="19">
        <v>5.0</v>
      </c>
    </row>
    <row r="36" ht="18.0" customHeight="1">
      <c r="A36" s="10" t="s">
        <v>63</v>
      </c>
      <c r="B36" s="85">
        <v>43952.0</v>
      </c>
      <c r="C36" s="12" t="s">
        <v>95</v>
      </c>
      <c r="D36" s="13">
        <v>575.34</v>
      </c>
      <c r="E36" s="13">
        <v>373.47</v>
      </c>
      <c r="F36" s="14" t="s">
        <v>96</v>
      </c>
      <c r="G36" s="82">
        <v>1.5405</v>
      </c>
      <c r="H36" s="14" t="s">
        <v>69</v>
      </c>
      <c r="I36" s="23">
        <v>0.2399</v>
      </c>
      <c r="J36" s="24"/>
      <c r="K36" s="25">
        <v>15.0</v>
      </c>
      <c r="L36" s="19">
        <v>4.0</v>
      </c>
      <c r="M36" s="19">
        <v>5.0</v>
      </c>
      <c r="N36" s="19">
        <v>3.0</v>
      </c>
      <c r="O36" s="19">
        <v>3.0</v>
      </c>
    </row>
    <row r="37" ht="18.0" customHeight="1">
      <c r="A37" s="10" t="s">
        <v>63</v>
      </c>
      <c r="B37" s="85">
        <v>43862.0</v>
      </c>
      <c r="C37" s="12" t="s">
        <v>97</v>
      </c>
      <c r="D37" s="13">
        <v>592.64</v>
      </c>
      <c r="E37" s="13">
        <v>395.38</v>
      </c>
      <c r="F37" s="14" t="s">
        <v>98</v>
      </c>
      <c r="G37" s="82">
        <v>1.4989</v>
      </c>
      <c r="H37" s="14" t="s">
        <v>69</v>
      </c>
      <c r="I37" s="23">
        <v>0.3158</v>
      </c>
      <c r="J37" s="24"/>
      <c r="K37" s="25">
        <v>15.0</v>
      </c>
      <c r="L37" s="19">
        <v>4.0</v>
      </c>
      <c r="M37" s="19">
        <v>5.0</v>
      </c>
      <c r="N37" s="19">
        <v>3.0</v>
      </c>
      <c r="O37" s="19">
        <v>3.0</v>
      </c>
    </row>
    <row r="38" ht="18.0" customHeight="1">
      <c r="A38" s="20" t="s">
        <v>99</v>
      </c>
      <c r="B38" s="85">
        <v>43770.0</v>
      </c>
      <c r="C38" s="12" t="s">
        <v>100</v>
      </c>
      <c r="D38" s="13">
        <v>5264.58</v>
      </c>
      <c r="E38" s="13">
        <v>4131.82</v>
      </c>
      <c r="F38" s="14" t="s">
        <v>101</v>
      </c>
      <c r="G38" s="82">
        <v>1.2742</v>
      </c>
      <c r="H38" s="14" t="s">
        <v>69</v>
      </c>
      <c r="I38" s="23">
        <v>0.2265</v>
      </c>
      <c r="J38" s="24"/>
      <c r="K38" s="18">
        <v>18.0</v>
      </c>
      <c r="L38" s="19">
        <v>4.0</v>
      </c>
      <c r="M38" s="19">
        <v>5.0</v>
      </c>
      <c r="N38" s="19">
        <v>4.0</v>
      </c>
      <c r="O38" s="19">
        <v>5.0</v>
      </c>
    </row>
    <row r="39" ht="18.0" customHeight="1">
      <c r="A39" s="20" t="s">
        <v>99</v>
      </c>
      <c r="B39" s="85">
        <v>43678.0</v>
      </c>
      <c r="C39" s="12" t="s">
        <v>102</v>
      </c>
      <c r="D39" s="13">
        <v>1955.42</v>
      </c>
      <c r="E39" s="13">
        <v>2179.83</v>
      </c>
      <c r="F39" s="14" t="s">
        <v>103</v>
      </c>
      <c r="G39" s="63">
        <v>0.8971</v>
      </c>
      <c r="H39" s="14" t="s">
        <v>46</v>
      </c>
      <c r="I39" s="23">
        <v>0.1902</v>
      </c>
      <c r="J39" s="24"/>
      <c r="K39" s="18">
        <v>18.0</v>
      </c>
      <c r="L39" s="19">
        <v>3.0</v>
      </c>
      <c r="M39" s="19">
        <v>5.0</v>
      </c>
      <c r="N39" s="19">
        <v>5.0</v>
      </c>
      <c r="O39" s="19">
        <v>5.0</v>
      </c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8.0" customHeight="1">
      <c r="A40" s="20" t="s">
        <v>99</v>
      </c>
      <c r="B40" s="85">
        <v>43678.0</v>
      </c>
      <c r="C40" s="12" t="s">
        <v>104</v>
      </c>
      <c r="D40" s="13">
        <v>3758.88</v>
      </c>
      <c r="E40" s="13">
        <v>3000.12</v>
      </c>
      <c r="F40" s="14" t="s">
        <v>105</v>
      </c>
      <c r="G40" s="82">
        <v>1.2529</v>
      </c>
      <c r="H40" s="14" t="s">
        <v>69</v>
      </c>
      <c r="I40" s="23">
        <v>0.2566</v>
      </c>
      <c r="J40" s="24"/>
      <c r="K40" s="18">
        <v>18.0</v>
      </c>
      <c r="L40" s="19">
        <v>4.0</v>
      </c>
      <c r="M40" s="19">
        <v>5.0</v>
      </c>
      <c r="N40" s="19">
        <v>4.0</v>
      </c>
      <c r="O40" s="19">
        <v>5.0</v>
      </c>
    </row>
    <row r="41" ht="18.0" customHeight="1">
      <c r="A41" s="20" t="s">
        <v>99</v>
      </c>
      <c r="B41" s="85">
        <v>43586.0</v>
      </c>
      <c r="C41" s="12" t="s">
        <v>106</v>
      </c>
      <c r="D41" s="13">
        <v>2453.67</v>
      </c>
      <c r="E41" s="13">
        <v>2685.11</v>
      </c>
      <c r="F41" s="14" t="s">
        <v>107</v>
      </c>
      <c r="G41" s="63">
        <v>0.9138</v>
      </c>
      <c r="H41" s="14" t="s">
        <v>46</v>
      </c>
      <c r="I41" s="23">
        <v>0.3008</v>
      </c>
      <c r="J41" s="24"/>
      <c r="K41" s="18">
        <v>17.0</v>
      </c>
      <c r="L41" s="19">
        <v>3.0</v>
      </c>
      <c r="M41" s="19">
        <v>5.0</v>
      </c>
      <c r="N41" s="19">
        <v>4.0</v>
      </c>
      <c r="O41" s="19">
        <v>5.0</v>
      </c>
    </row>
    <row r="42" ht="18.0" customHeight="1">
      <c r="A42" s="20" t="s">
        <v>99</v>
      </c>
      <c r="B42" s="85">
        <v>43497.0</v>
      </c>
      <c r="C42" s="21" t="s">
        <v>108</v>
      </c>
      <c r="D42" s="22">
        <v>9401.05</v>
      </c>
      <c r="E42" s="22">
        <v>6449.17</v>
      </c>
      <c r="F42" s="20" t="s">
        <v>109</v>
      </c>
      <c r="G42" s="82">
        <v>1.4577</v>
      </c>
      <c r="H42" s="20" t="s">
        <v>69</v>
      </c>
      <c r="I42" s="16">
        <v>0.5626</v>
      </c>
      <c r="J42" s="24"/>
      <c r="K42" s="18">
        <v>17.0</v>
      </c>
      <c r="L42" s="19">
        <v>4.0</v>
      </c>
      <c r="M42" s="19">
        <v>5.0</v>
      </c>
      <c r="N42" s="19">
        <v>3.0</v>
      </c>
      <c r="O42" s="19">
        <v>5.0</v>
      </c>
    </row>
    <row r="43" ht="18.0" customHeight="1">
      <c r="A43" s="105" t="s">
        <v>99</v>
      </c>
      <c r="B43" s="79">
        <v>43405.0</v>
      </c>
      <c r="C43" s="31" t="s">
        <v>110</v>
      </c>
      <c r="D43" s="32">
        <v>1372.18</v>
      </c>
      <c r="E43" s="32">
        <v>1784.46</v>
      </c>
      <c r="F43" s="33" t="s">
        <v>111</v>
      </c>
      <c r="G43" s="63">
        <v>0.769</v>
      </c>
      <c r="H43" s="33" t="s">
        <v>46</v>
      </c>
      <c r="I43" s="34">
        <v>0.2374</v>
      </c>
      <c r="J43" s="35"/>
      <c r="K43" s="52">
        <v>17.0</v>
      </c>
      <c r="L43" s="28">
        <v>3.0</v>
      </c>
      <c r="M43" s="28">
        <v>5.0</v>
      </c>
      <c r="N43" s="28">
        <v>4.0</v>
      </c>
      <c r="O43" s="28">
        <v>5.0</v>
      </c>
    </row>
    <row r="44" ht="18.0" customHeight="1">
      <c r="A44" s="20" t="s">
        <v>99</v>
      </c>
      <c r="B44" s="85">
        <v>43132.0</v>
      </c>
      <c r="C44" s="12" t="s">
        <v>112</v>
      </c>
      <c r="D44" s="13">
        <v>1331.18</v>
      </c>
      <c r="E44" s="13">
        <v>1504.01</v>
      </c>
      <c r="F44" s="14" t="s">
        <v>113</v>
      </c>
      <c r="G44" s="63">
        <v>0.8851</v>
      </c>
      <c r="H44" s="14" t="s">
        <v>46</v>
      </c>
      <c r="I44" s="23">
        <v>0.4081</v>
      </c>
      <c r="J44" s="24"/>
      <c r="K44" s="25">
        <v>14.0</v>
      </c>
      <c r="L44" s="19">
        <v>3.0</v>
      </c>
      <c r="M44" s="19">
        <v>5.0</v>
      </c>
      <c r="N44" s="19">
        <v>3.0</v>
      </c>
      <c r="O44" s="19">
        <v>3.0</v>
      </c>
    </row>
    <row r="45" ht="15.75" customHeight="1">
      <c r="A45" s="10" t="s">
        <v>63</v>
      </c>
      <c r="B45" s="85">
        <v>42675.0</v>
      </c>
      <c r="C45" s="12" t="s">
        <v>114</v>
      </c>
      <c r="D45" s="13">
        <v>1880.17</v>
      </c>
      <c r="E45" s="13">
        <v>688.61</v>
      </c>
      <c r="F45" s="14" t="s">
        <v>115</v>
      </c>
      <c r="G45" s="106">
        <v>2.7304</v>
      </c>
      <c r="H45" s="14" t="s">
        <v>46</v>
      </c>
      <c r="I45" s="23">
        <v>0.285</v>
      </c>
      <c r="J45" s="24"/>
      <c r="K45" s="18">
        <v>16.0</v>
      </c>
      <c r="L45" s="19">
        <v>3.0</v>
      </c>
      <c r="M45" s="19">
        <v>5.0</v>
      </c>
      <c r="N45" s="19">
        <v>5.0</v>
      </c>
      <c r="O45" s="19">
        <v>3.0</v>
      </c>
    </row>
    <row r="46" ht="15.75" customHeight="1">
      <c r="D46" s="107"/>
      <c r="E46" s="107"/>
      <c r="F46" s="108"/>
      <c r="G46" s="109"/>
      <c r="I46" s="110"/>
      <c r="K46" s="110"/>
    </row>
    <row r="47" ht="15.75" customHeight="1">
      <c r="D47" s="107"/>
      <c r="E47" s="107"/>
      <c r="F47" s="108"/>
      <c r="G47" s="109"/>
      <c r="I47" s="110"/>
      <c r="K47" s="110"/>
    </row>
    <row r="48" ht="15.75" customHeight="1">
      <c r="D48" s="107"/>
      <c r="E48" s="107"/>
      <c r="F48" s="108"/>
      <c r="G48" s="109"/>
      <c r="I48" s="110"/>
      <c r="K48" s="110"/>
    </row>
    <row r="49" ht="15.75" customHeight="1">
      <c r="D49" s="107"/>
      <c r="E49" s="107"/>
      <c r="F49" s="108"/>
      <c r="G49" s="109"/>
      <c r="I49" s="110"/>
      <c r="K49" s="110"/>
    </row>
    <row r="50" ht="15.75" customHeight="1">
      <c r="D50" s="107"/>
      <c r="E50" s="107"/>
      <c r="F50" s="108"/>
      <c r="G50" s="109"/>
      <c r="I50" s="110"/>
      <c r="K50" s="110"/>
    </row>
    <row r="51" ht="15.75" customHeight="1">
      <c r="D51" s="111"/>
      <c r="E51" s="111"/>
      <c r="F51" s="108"/>
      <c r="G51" s="112"/>
      <c r="I51" s="110"/>
      <c r="K51" s="110"/>
    </row>
    <row r="52" ht="15.75" customHeight="1">
      <c r="D52" s="111"/>
      <c r="E52" s="111"/>
      <c r="F52" s="108"/>
      <c r="G52" s="112"/>
      <c r="I52" s="110"/>
      <c r="K52" s="110"/>
    </row>
    <row r="53" ht="15.75" customHeight="1">
      <c r="D53" s="111"/>
      <c r="E53" s="111"/>
      <c r="F53" s="108"/>
      <c r="G53" s="112"/>
      <c r="I53" s="110"/>
      <c r="K53" s="110"/>
    </row>
    <row r="54" ht="15.75" customHeight="1">
      <c r="D54" s="111"/>
      <c r="E54" s="111"/>
      <c r="F54" s="108"/>
      <c r="G54" s="112"/>
      <c r="I54" s="110"/>
      <c r="K54" s="110"/>
    </row>
    <row r="55" ht="15.75" customHeight="1">
      <c r="D55" s="111"/>
      <c r="E55" s="111"/>
      <c r="F55" s="108"/>
      <c r="G55" s="112"/>
      <c r="I55" s="110"/>
      <c r="K55" s="110"/>
    </row>
    <row r="56" ht="15.75" customHeight="1">
      <c r="D56" s="111"/>
      <c r="E56" s="111"/>
      <c r="F56" s="108"/>
      <c r="G56" s="112"/>
      <c r="I56" s="110"/>
      <c r="K56" s="110"/>
    </row>
    <row r="57" ht="15.75" customHeight="1">
      <c r="D57" s="111"/>
      <c r="E57" s="111"/>
      <c r="F57" s="108"/>
      <c r="G57" s="112"/>
      <c r="I57" s="110"/>
      <c r="K57" s="110"/>
    </row>
    <row r="58" ht="15.75" customHeight="1">
      <c r="D58" s="111"/>
      <c r="E58" s="111"/>
      <c r="F58" s="108"/>
      <c r="G58" s="112"/>
      <c r="I58" s="110"/>
      <c r="K58" s="110"/>
    </row>
    <row r="59" ht="15.75" customHeight="1">
      <c r="D59" s="111"/>
      <c r="E59" s="111"/>
      <c r="F59" s="108"/>
      <c r="G59" s="112"/>
      <c r="I59" s="110"/>
      <c r="K59" s="110"/>
    </row>
    <row r="60" ht="15.75" customHeight="1">
      <c r="D60" s="111"/>
      <c r="E60" s="111"/>
      <c r="F60" s="108"/>
      <c r="G60" s="112"/>
      <c r="I60" s="110"/>
      <c r="K60" s="110"/>
    </row>
    <row r="61" ht="15.75" customHeight="1">
      <c r="D61" s="111"/>
      <c r="E61" s="111"/>
      <c r="F61" s="108"/>
      <c r="G61" s="112"/>
      <c r="I61" s="110"/>
      <c r="K61" s="110"/>
    </row>
    <row r="62" ht="15.75" customHeight="1">
      <c r="D62" s="111"/>
      <c r="E62" s="111"/>
      <c r="F62" s="108"/>
      <c r="G62" s="112"/>
      <c r="I62" s="110"/>
      <c r="K62" s="110"/>
    </row>
    <row r="63" ht="15.75" customHeight="1">
      <c r="D63" s="111"/>
      <c r="E63" s="111"/>
      <c r="F63" s="108"/>
      <c r="G63" s="112"/>
      <c r="I63" s="110"/>
      <c r="K63" s="110"/>
    </row>
    <row r="64" ht="15.75" customHeight="1">
      <c r="D64" s="111"/>
      <c r="E64" s="111"/>
      <c r="F64" s="108"/>
      <c r="G64" s="112"/>
      <c r="I64" s="110"/>
      <c r="K64" s="110"/>
    </row>
    <row r="65" ht="15.75" customHeight="1">
      <c r="D65" s="111"/>
      <c r="E65" s="111"/>
      <c r="F65" s="108"/>
      <c r="G65" s="112"/>
      <c r="I65" s="110"/>
      <c r="K65" s="110"/>
    </row>
    <row r="66" ht="15.75" customHeight="1">
      <c r="D66" s="111"/>
      <c r="E66" s="111"/>
      <c r="F66" s="108"/>
      <c r="G66" s="112"/>
      <c r="I66" s="110"/>
      <c r="K66" s="110"/>
    </row>
    <row r="67" ht="15.75" customHeight="1">
      <c r="D67" s="111"/>
      <c r="E67" s="111"/>
      <c r="F67" s="108"/>
      <c r="G67" s="112"/>
      <c r="I67" s="110"/>
      <c r="K67" s="110"/>
    </row>
    <row r="68" ht="15.75" customHeight="1">
      <c r="D68" s="111"/>
      <c r="E68" s="111"/>
      <c r="F68" s="108"/>
      <c r="G68" s="112"/>
      <c r="I68" s="110"/>
      <c r="K68" s="110"/>
    </row>
    <row r="69" ht="15.75" customHeight="1">
      <c r="D69" s="111"/>
      <c r="E69" s="111"/>
      <c r="F69" s="108"/>
      <c r="G69" s="112"/>
      <c r="I69" s="110"/>
      <c r="K69" s="110"/>
    </row>
    <row r="70" ht="15.75" customHeight="1">
      <c r="D70" s="111"/>
      <c r="E70" s="111"/>
      <c r="F70" s="108"/>
      <c r="G70" s="112"/>
      <c r="I70" s="110"/>
      <c r="K70" s="110"/>
    </row>
    <row r="71" ht="15.75" customHeight="1">
      <c r="D71" s="111"/>
      <c r="E71" s="111"/>
      <c r="F71" s="108"/>
      <c r="G71" s="112"/>
      <c r="I71" s="110"/>
      <c r="K71" s="110"/>
    </row>
    <row r="72" ht="15.75" customHeight="1">
      <c r="D72" s="111"/>
      <c r="E72" s="111"/>
      <c r="F72" s="108"/>
      <c r="G72" s="112"/>
      <c r="I72" s="110"/>
      <c r="K72" s="110"/>
    </row>
    <row r="73" ht="15.75" customHeight="1">
      <c r="D73" s="111"/>
      <c r="E73" s="111"/>
      <c r="F73" s="108"/>
      <c r="G73" s="112"/>
      <c r="I73" s="110"/>
      <c r="K73" s="110"/>
    </row>
    <row r="74" ht="15.75" customHeight="1">
      <c r="D74" s="111"/>
      <c r="E74" s="111"/>
      <c r="F74" s="108"/>
      <c r="G74" s="112"/>
      <c r="I74" s="110"/>
      <c r="K74" s="110"/>
    </row>
    <row r="75" ht="15.75" customHeight="1">
      <c r="D75" s="111"/>
      <c r="E75" s="111"/>
      <c r="F75" s="108"/>
      <c r="G75" s="112"/>
      <c r="I75" s="110"/>
      <c r="K75" s="110"/>
    </row>
    <row r="76" ht="15.75" customHeight="1">
      <c r="D76" s="111"/>
      <c r="E76" s="111"/>
      <c r="F76" s="108"/>
      <c r="G76" s="112"/>
      <c r="I76" s="110"/>
      <c r="K76" s="110"/>
    </row>
    <row r="77" ht="15.75" customHeight="1">
      <c r="D77" s="111"/>
      <c r="E77" s="111"/>
      <c r="F77" s="108"/>
      <c r="G77" s="112"/>
      <c r="I77" s="110"/>
      <c r="K77" s="110"/>
    </row>
    <row r="78" ht="15.75" customHeight="1">
      <c r="D78" s="111"/>
      <c r="E78" s="111"/>
      <c r="F78" s="108"/>
      <c r="G78" s="112"/>
      <c r="I78" s="110"/>
      <c r="K78" s="110"/>
    </row>
    <row r="79" ht="15.75" customHeight="1">
      <c r="D79" s="111"/>
      <c r="E79" s="111"/>
      <c r="F79" s="108"/>
      <c r="G79" s="112"/>
      <c r="I79" s="110"/>
      <c r="K79" s="110"/>
    </row>
    <row r="80" ht="15.75" customHeight="1">
      <c r="D80" s="111"/>
      <c r="E80" s="111"/>
      <c r="F80" s="108"/>
      <c r="G80" s="112"/>
      <c r="I80" s="110"/>
      <c r="K80" s="110"/>
    </row>
    <row r="81" ht="15.75" customHeight="1">
      <c r="D81" s="111"/>
      <c r="E81" s="111"/>
      <c r="F81" s="108"/>
      <c r="G81" s="112"/>
      <c r="I81" s="110"/>
      <c r="K81" s="110"/>
    </row>
    <row r="82" ht="15.75" customHeight="1">
      <c r="D82" s="111"/>
      <c r="E82" s="111"/>
      <c r="F82" s="108"/>
      <c r="G82" s="112"/>
      <c r="I82" s="110"/>
      <c r="K82" s="110"/>
    </row>
    <row r="83" ht="15.75" customHeight="1">
      <c r="D83" s="111"/>
      <c r="E83" s="111"/>
      <c r="F83" s="108"/>
      <c r="G83" s="112"/>
      <c r="I83" s="110"/>
      <c r="K83" s="110"/>
    </row>
    <row r="84" ht="15.75" customHeight="1">
      <c r="D84" s="111"/>
      <c r="E84" s="111"/>
      <c r="F84" s="108"/>
      <c r="G84" s="112"/>
      <c r="I84" s="110"/>
      <c r="K84" s="110"/>
    </row>
    <row r="85" ht="15.75" customHeight="1">
      <c r="D85" s="111"/>
      <c r="E85" s="111"/>
      <c r="F85" s="108"/>
      <c r="G85" s="112"/>
      <c r="I85" s="110"/>
      <c r="K85" s="110"/>
    </row>
    <row r="86" ht="15.75" customHeight="1">
      <c r="D86" s="111"/>
      <c r="E86" s="111"/>
      <c r="F86" s="108"/>
      <c r="G86" s="112"/>
      <c r="I86" s="110"/>
      <c r="K86" s="110"/>
    </row>
    <row r="87" ht="15.75" customHeight="1">
      <c r="D87" s="111"/>
      <c r="E87" s="111"/>
      <c r="F87" s="108"/>
      <c r="G87" s="112"/>
      <c r="I87" s="110"/>
      <c r="K87" s="110"/>
    </row>
    <row r="88" ht="15.75" customHeight="1">
      <c r="D88" s="111"/>
      <c r="E88" s="111"/>
      <c r="F88" s="108"/>
      <c r="G88" s="112"/>
      <c r="I88" s="110"/>
      <c r="K88" s="110"/>
    </row>
    <row r="89" ht="15.75" customHeight="1">
      <c r="D89" s="111"/>
      <c r="E89" s="111"/>
      <c r="F89" s="108"/>
      <c r="G89" s="112"/>
      <c r="I89" s="110"/>
      <c r="K89" s="110"/>
    </row>
    <row r="90" ht="15.75" customHeight="1">
      <c r="D90" s="111"/>
      <c r="E90" s="111"/>
      <c r="F90" s="108"/>
      <c r="G90" s="112"/>
      <c r="I90" s="110"/>
      <c r="K90" s="110"/>
    </row>
    <row r="91" ht="15.75" customHeight="1">
      <c r="D91" s="111"/>
      <c r="E91" s="111"/>
      <c r="F91" s="108"/>
      <c r="G91" s="112"/>
      <c r="I91" s="110"/>
      <c r="K91" s="110"/>
    </row>
    <row r="92" ht="15.75" customHeight="1">
      <c r="D92" s="111"/>
      <c r="E92" s="111"/>
      <c r="F92" s="108"/>
      <c r="G92" s="112"/>
      <c r="I92" s="110"/>
      <c r="K92" s="110"/>
    </row>
    <row r="93" ht="15.75" customHeight="1">
      <c r="D93" s="111"/>
      <c r="E93" s="111"/>
      <c r="F93" s="108"/>
      <c r="G93" s="112"/>
      <c r="I93" s="110"/>
      <c r="K93" s="110"/>
    </row>
    <row r="94" ht="15.75" customHeight="1">
      <c r="D94" s="111"/>
      <c r="E94" s="111"/>
      <c r="F94" s="108"/>
      <c r="G94" s="112"/>
      <c r="I94" s="110"/>
      <c r="K94" s="110"/>
    </row>
    <row r="95" ht="15.75" customHeight="1">
      <c r="D95" s="111"/>
      <c r="E95" s="111"/>
      <c r="F95" s="108"/>
      <c r="G95" s="112"/>
      <c r="I95" s="110"/>
      <c r="K95" s="110"/>
    </row>
    <row r="96" ht="15.75" customHeight="1">
      <c r="D96" s="111"/>
      <c r="E96" s="111"/>
      <c r="F96" s="108"/>
      <c r="G96" s="112"/>
      <c r="I96" s="110"/>
      <c r="K96" s="110"/>
    </row>
    <row r="97" ht="15.75" customHeight="1">
      <c r="D97" s="111"/>
      <c r="E97" s="111"/>
      <c r="F97" s="108"/>
      <c r="G97" s="112"/>
      <c r="I97" s="110"/>
      <c r="K97" s="110"/>
    </row>
    <row r="98" ht="15.75" customHeight="1">
      <c r="D98" s="111"/>
      <c r="E98" s="111"/>
      <c r="F98" s="108"/>
      <c r="G98" s="112"/>
      <c r="I98" s="110"/>
      <c r="K98" s="110"/>
    </row>
    <row r="99" ht="15.75" customHeight="1">
      <c r="D99" s="111"/>
      <c r="E99" s="111"/>
      <c r="F99" s="108"/>
      <c r="G99" s="112"/>
      <c r="I99" s="110"/>
      <c r="K99" s="110"/>
    </row>
    <row r="100" ht="15.75" customHeight="1">
      <c r="D100" s="111"/>
      <c r="E100" s="111"/>
      <c r="F100" s="108"/>
      <c r="G100" s="112"/>
      <c r="I100" s="110"/>
      <c r="K100" s="110"/>
    </row>
    <row r="101" ht="15.75" customHeight="1">
      <c r="D101" s="111"/>
      <c r="E101" s="111"/>
      <c r="F101" s="108"/>
      <c r="G101" s="112"/>
      <c r="I101" s="110"/>
      <c r="K101" s="110"/>
    </row>
    <row r="102" ht="15.75" customHeight="1">
      <c r="D102" s="111"/>
      <c r="E102" s="111"/>
      <c r="F102" s="108"/>
      <c r="G102" s="112"/>
      <c r="I102" s="110"/>
      <c r="K102" s="110"/>
    </row>
    <row r="103" ht="15.75" customHeight="1">
      <c r="D103" s="111"/>
      <c r="E103" s="111"/>
      <c r="F103" s="108"/>
      <c r="G103" s="112"/>
      <c r="I103" s="110"/>
      <c r="K103" s="110"/>
    </row>
    <row r="104" ht="15.75" customHeight="1">
      <c r="D104" s="111"/>
      <c r="E104" s="111"/>
      <c r="F104" s="108"/>
      <c r="G104" s="112"/>
      <c r="I104" s="110"/>
      <c r="K104" s="110"/>
    </row>
    <row r="105" ht="15.75" customHeight="1">
      <c r="D105" s="111"/>
      <c r="E105" s="111"/>
      <c r="F105" s="108"/>
      <c r="G105" s="112"/>
      <c r="I105" s="110"/>
      <c r="K105" s="110"/>
    </row>
    <row r="106" ht="15.75" customHeight="1">
      <c r="D106" s="111"/>
      <c r="E106" s="111"/>
      <c r="F106" s="108"/>
      <c r="G106" s="112"/>
      <c r="I106" s="110"/>
      <c r="K106" s="110"/>
    </row>
    <row r="107" ht="15.75" customHeight="1">
      <c r="D107" s="111"/>
      <c r="E107" s="111"/>
      <c r="F107" s="108"/>
      <c r="G107" s="112"/>
      <c r="I107" s="110"/>
      <c r="K107" s="110"/>
    </row>
    <row r="108" ht="15.75" customHeight="1">
      <c r="D108" s="111"/>
      <c r="E108" s="111"/>
      <c r="F108" s="108"/>
      <c r="G108" s="112"/>
      <c r="I108" s="110"/>
      <c r="K108" s="110"/>
    </row>
    <row r="109" ht="15.75" customHeight="1">
      <c r="D109" s="111"/>
      <c r="E109" s="111"/>
      <c r="F109" s="108"/>
      <c r="G109" s="112"/>
      <c r="I109" s="110"/>
      <c r="K109" s="110"/>
    </row>
    <row r="110" ht="15.75" customHeight="1">
      <c r="D110" s="111"/>
      <c r="E110" s="111"/>
      <c r="F110" s="108"/>
      <c r="G110" s="112"/>
      <c r="I110" s="110"/>
      <c r="K110" s="110"/>
    </row>
    <row r="111" ht="15.75" customHeight="1">
      <c r="D111" s="111"/>
      <c r="E111" s="111"/>
      <c r="F111" s="108"/>
      <c r="G111" s="112"/>
      <c r="I111" s="110"/>
      <c r="K111" s="110"/>
    </row>
    <row r="112" ht="15.75" customHeight="1">
      <c r="D112" s="111"/>
      <c r="E112" s="111"/>
      <c r="F112" s="108"/>
      <c r="G112" s="112"/>
      <c r="I112" s="110"/>
      <c r="K112" s="110"/>
    </row>
    <row r="113" ht="15.75" customHeight="1">
      <c r="D113" s="111"/>
      <c r="E113" s="111"/>
      <c r="F113" s="108"/>
      <c r="G113" s="112"/>
      <c r="I113" s="110"/>
      <c r="K113" s="110"/>
    </row>
    <row r="114" ht="15.75" customHeight="1">
      <c r="D114" s="111"/>
      <c r="E114" s="111"/>
      <c r="F114" s="108"/>
      <c r="G114" s="112"/>
      <c r="I114" s="110"/>
      <c r="K114" s="110"/>
    </row>
    <row r="115" ht="15.75" customHeight="1">
      <c r="D115" s="111"/>
      <c r="E115" s="111"/>
      <c r="F115" s="108"/>
      <c r="G115" s="112"/>
      <c r="I115" s="110"/>
      <c r="K115" s="110"/>
    </row>
    <row r="116" ht="15.75" customHeight="1">
      <c r="D116" s="111"/>
      <c r="E116" s="111"/>
      <c r="F116" s="108"/>
      <c r="G116" s="112"/>
      <c r="I116" s="110"/>
      <c r="K116" s="110"/>
    </row>
    <row r="117" ht="15.75" customHeight="1">
      <c r="D117" s="111"/>
      <c r="E117" s="111"/>
      <c r="F117" s="108"/>
      <c r="G117" s="112"/>
      <c r="I117" s="110"/>
      <c r="K117" s="110"/>
    </row>
    <row r="118" ht="15.75" customHeight="1">
      <c r="D118" s="111"/>
      <c r="E118" s="111"/>
      <c r="F118" s="108"/>
      <c r="G118" s="112"/>
      <c r="I118" s="110"/>
      <c r="K118" s="110"/>
    </row>
    <row r="119" ht="15.75" customHeight="1">
      <c r="D119" s="111"/>
      <c r="E119" s="111"/>
      <c r="F119" s="108"/>
      <c r="G119" s="112"/>
      <c r="I119" s="110"/>
      <c r="K119" s="110"/>
    </row>
    <row r="120" ht="15.75" customHeight="1">
      <c r="D120" s="111"/>
      <c r="E120" s="111"/>
      <c r="F120" s="108"/>
      <c r="G120" s="112"/>
      <c r="I120" s="110"/>
      <c r="K120" s="110"/>
    </row>
    <row r="121" ht="15.75" customHeight="1">
      <c r="D121" s="111"/>
      <c r="E121" s="111"/>
      <c r="F121" s="108"/>
      <c r="G121" s="112"/>
      <c r="I121" s="110"/>
      <c r="K121" s="110"/>
    </row>
    <row r="122" ht="15.75" customHeight="1">
      <c r="D122" s="111"/>
      <c r="E122" s="111"/>
      <c r="F122" s="108"/>
      <c r="G122" s="112"/>
      <c r="I122" s="110"/>
      <c r="K122" s="110"/>
    </row>
    <row r="123" ht="15.75" customHeight="1">
      <c r="D123" s="111"/>
      <c r="E123" s="111"/>
      <c r="F123" s="108"/>
      <c r="G123" s="112"/>
      <c r="I123" s="110"/>
      <c r="K123" s="110"/>
    </row>
    <row r="124" ht="15.75" customHeight="1">
      <c r="D124" s="111"/>
      <c r="E124" s="111"/>
      <c r="F124" s="108"/>
      <c r="G124" s="112"/>
      <c r="I124" s="110"/>
      <c r="K124" s="110"/>
    </row>
    <row r="125" ht="15.75" customHeight="1">
      <c r="D125" s="111"/>
      <c r="E125" s="111"/>
      <c r="F125" s="108"/>
      <c r="G125" s="112"/>
      <c r="I125" s="110"/>
      <c r="K125" s="110"/>
    </row>
    <row r="126" ht="15.75" customHeight="1">
      <c r="D126" s="111"/>
      <c r="E126" s="111"/>
      <c r="F126" s="108"/>
      <c r="G126" s="112"/>
      <c r="I126" s="110"/>
      <c r="K126" s="110"/>
    </row>
    <row r="127" ht="15.75" customHeight="1">
      <c r="D127" s="111"/>
      <c r="E127" s="111"/>
      <c r="F127" s="108"/>
      <c r="G127" s="112"/>
      <c r="I127" s="110"/>
      <c r="K127" s="110"/>
    </row>
    <row r="128" ht="15.75" customHeight="1">
      <c r="D128" s="111"/>
      <c r="E128" s="111"/>
      <c r="F128" s="108"/>
      <c r="G128" s="112"/>
      <c r="I128" s="110"/>
      <c r="K128" s="110"/>
    </row>
    <row r="129" ht="15.75" customHeight="1">
      <c r="D129" s="111"/>
      <c r="E129" s="111"/>
      <c r="F129" s="108"/>
      <c r="G129" s="112"/>
      <c r="I129" s="110"/>
      <c r="K129" s="110"/>
    </row>
    <row r="130" ht="15.75" customHeight="1">
      <c r="D130" s="111"/>
      <c r="E130" s="111"/>
      <c r="F130" s="108"/>
      <c r="G130" s="112"/>
      <c r="I130" s="110"/>
      <c r="K130" s="110"/>
    </row>
    <row r="131" ht="15.75" customHeight="1">
      <c r="D131" s="111"/>
      <c r="E131" s="111"/>
      <c r="F131" s="108"/>
      <c r="G131" s="112"/>
      <c r="I131" s="110"/>
      <c r="K131" s="110"/>
    </row>
    <row r="132" ht="15.75" customHeight="1">
      <c r="D132" s="111"/>
      <c r="E132" s="111"/>
      <c r="F132" s="108"/>
      <c r="G132" s="112"/>
      <c r="I132" s="110"/>
      <c r="K132" s="110"/>
    </row>
    <row r="133" ht="15.75" customHeight="1">
      <c r="D133" s="111"/>
      <c r="E133" s="111"/>
      <c r="F133" s="108"/>
      <c r="G133" s="112"/>
      <c r="I133" s="110"/>
      <c r="K133" s="110"/>
    </row>
    <row r="134" ht="15.75" customHeight="1">
      <c r="D134" s="111"/>
      <c r="E134" s="111"/>
      <c r="F134" s="108"/>
      <c r="G134" s="112"/>
      <c r="I134" s="110"/>
      <c r="K134" s="110"/>
    </row>
    <row r="135" ht="15.75" customHeight="1">
      <c r="D135" s="111"/>
      <c r="E135" s="111"/>
      <c r="F135" s="108"/>
      <c r="G135" s="112"/>
      <c r="I135" s="110"/>
      <c r="K135" s="110"/>
    </row>
    <row r="136" ht="15.75" customHeight="1">
      <c r="D136" s="111"/>
      <c r="E136" s="111"/>
      <c r="F136" s="108"/>
      <c r="G136" s="112"/>
      <c r="I136" s="110"/>
      <c r="K136" s="110"/>
    </row>
    <row r="137" ht="15.75" customHeight="1">
      <c r="D137" s="111"/>
      <c r="E137" s="111"/>
      <c r="F137" s="108"/>
      <c r="G137" s="112"/>
      <c r="I137" s="110"/>
      <c r="K137" s="110"/>
    </row>
    <row r="138" ht="15.75" customHeight="1">
      <c r="D138" s="111"/>
      <c r="E138" s="111"/>
      <c r="F138" s="108"/>
      <c r="G138" s="112"/>
      <c r="I138" s="110"/>
      <c r="K138" s="110"/>
    </row>
    <row r="139" ht="15.75" customHeight="1">
      <c r="D139" s="111"/>
      <c r="E139" s="111"/>
      <c r="F139" s="108"/>
      <c r="G139" s="112"/>
      <c r="I139" s="110"/>
      <c r="K139" s="110"/>
    </row>
    <row r="140" ht="15.75" customHeight="1">
      <c r="D140" s="111"/>
      <c r="E140" s="111"/>
      <c r="F140" s="108"/>
      <c r="G140" s="112"/>
      <c r="I140" s="110"/>
      <c r="K140" s="110"/>
    </row>
    <row r="141" ht="15.75" customHeight="1">
      <c r="D141" s="111"/>
      <c r="E141" s="111"/>
      <c r="F141" s="108"/>
      <c r="G141" s="112"/>
      <c r="I141" s="110"/>
      <c r="K141" s="110"/>
    </row>
    <row r="142" ht="15.75" customHeight="1">
      <c r="D142" s="111"/>
      <c r="E142" s="111"/>
      <c r="F142" s="108"/>
      <c r="G142" s="112"/>
      <c r="I142" s="110"/>
      <c r="K142" s="110"/>
    </row>
    <row r="143" ht="15.75" customHeight="1">
      <c r="D143" s="111"/>
      <c r="E143" s="111"/>
      <c r="F143" s="108"/>
      <c r="G143" s="112"/>
      <c r="I143" s="110"/>
      <c r="K143" s="110"/>
    </row>
    <row r="144" ht="15.75" customHeight="1">
      <c r="D144" s="111"/>
      <c r="E144" s="111"/>
      <c r="F144" s="108"/>
      <c r="G144" s="112"/>
      <c r="I144" s="110"/>
      <c r="K144" s="110"/>
    </row>
    <row r="145" ht="15.75" customHeight="1">
      <c r="D145" s="111"/>
      <c r="E145" s="111"/>
      <c r="F145" s="108"/>
      <c r="G145" s="112"/>
      <c r="I145" s="110"/>
      <c r="K145" s="110"/>
    </row>
    <row r="146" ht="15.75" customHeight="1">
      <c r="D146" s="111"/>
      <c r="E146" s="111"/>
      <c r="F146" s="108"/>
      <c r="G146" s="112"/>
      <c r="I146" s="110"/>
      <c r="K146" s="110"/>
    </row>
    <row r="147" ht="15.75" customHeight="1">
      <c r="D147" s="111"/>
      <c r="E147" s="111"/>
      <c r="F147" s="108"/>
      <c r="G147" s="112"/>
      <c r="I147" s="110"/>
      <c r="K147" s="110"/>
    </row>
    <row r="148" ht="15.75" customHeight="1">
      <c r="D148" s="111"/>
      <c r="E148" s="111"/>
      <c r="F148" s="108"/>
      <c r="G148" s="112"/>
      <c r="I148" s="110"/>
      <c r="K148" s="110"/>
    </row>
    <row r="149" ht="15.75" customHeight="1">
      <c r="D149" s="111"/>
      <c r="E149" s="111"/>
      <c r="F149" s="108"/>
      <c r="G149" s="112"/>
      <c r="I149" s="110"/>
      <c r="K149" s="110"/>
    </row>
    <row r="150" ht="15.75" customHeight="1">
      <c r="D150" s="111"/>
      <c r="E150" s="111"/>
      <c r="F150" s="108"/>
      <c r="G150" s="112"/>
      <c r="I150" s="110"/>
      <c r="K150" s="110"/>
    </row>
    <row r="151" ht="15.75" customHeight="1">
      <c r="D151" s="111"/>
      <c r="E151" s="111"/>
      <c r="F151" s="108"/>
      <c r="G151" s="112"/>
      <c r="I151" s="110"/>
      <c r="K151" s="110"/>
    </row>
    <row r="152" ht="15.75" customHeight="1">
      <c r="D152" s="111"/>
      <c r="E152" s="111"/>
      <c r="F152" s="108"/>
      <c r="G152" s="112"/>
      <c r="I152" s="110"/>
      <c r="K152" s="110"/>
    </row>
    <row r="153" ht="15.75" customHeight="1">
      <c r="D153" s="111"/>
      <c r="E153" s="111"/>
      <c r="F153" s="108"/>
      <c r="G153" s="112"/>
      <c r="I153" s="110"/>
      <c r="K153" s="110"/>
    </row>
    <row r="154" ht="15.75" customHeight="1">
      <c r="D154" s="111"/>
      <c r="E154" s="111"/>
      <c r="F154" s="108"/>
      <c r="G154" s="112"/>
      <c r="I154" s="110"/>
      <c r="K154" s="110"/>
    </row>
    <row r="155" ht="15.75" customHeight="1">
      <c r="D155" s="111"/>
      <c r="E155" s="111"/>
      <c r="F155" s="108"/>
      <c r="G155" s="112"/>
      <c r="I155" s="110"/>
      <c r="K155" s="110"/>
    </row>
    <row r="156" ht="15.75" customHeight="1">
      <c r="D156" s="111"/>
      <c r="E156" s="111"/>
      <c r="F156" s="108"/>
      <c r="G156" s="112"/>
      <c r="I156" s="110"/>
      <c r="K156" s="110"/>
    </row>
    <row r="157" ht="15.75" customHeight="1">
      <c r="D157" s="111"/>
      <c r="E157" s="111"/>
      <c r="F157" s="108"/>
      <c r="G157" s="112"/>
      <c r="I157" s="110"/>
      <c r="K157" s="110"/>
    </row>
    <row r="158" ht="15.75" customHeight="1">
      <c r="D158" s="111"/>
      <c r="E158" s="111"/>
      <c r="F158" s="108"/>
      <c r="G158" s="112"/>
      <c r="I158" s="110"/>
      <c r="K158" s="110"/>
    </row>
    <row r="159" ht="15.75" customHeight="1">
      <c r="D159" s="111"/>
      <c r="E159" s="111"/>
      <c r="F159" s="108"/>
      <c r="G159" s="112"/>
      <c r="I159" s="110"/>
      <c r="K159" s="110"/>
    </row>
    <row r="160" ht="15.75" customHeight="1">
      <c r="D160" s="111"/>
      <c r="E160" s="111"/>
      <c r="F160" s="108"/>
      <c r="G160" s="112"/>
      <c r="I160" s="110"/>
      <c r="K160" s="110"/>
    </row>
    <row r="161" ht="15.75" customHeight="1">
      <c r="D161" s="111"/>
      <c r="E161" s="111"/>
      <c r="F161" s="108"/>
      <c r="G161" s="112"/>
      <c r="I161" s="110"/>
      <c r="K161" s="110"/>
    </row>
    <row r="162" ht="15.75" customHeight="1">
      <c r="D162" s="111"/>
      <c r="E162" s="111"/>
      <c r="F162" s="108"/>
      <c r="G162" s="112"/>
      <c r="I162" s="110"/>
      <c r="K162" s="110"/>
    </row>
    <row r="163" ht="15.75" customHeight="1">
      <c r="D163" s="111"/>
      <c r="E163" s="111"/>
      <c r="F163" s="108"/>
      <c r="G163" s="112"/>
      <c r="I163" s="110"/>
      <c r="K163" s="110"/>
    </row>
    <row r="164" ht="15.75" customHeight="1">
      <c r="D164" s="111"/>
      <c r="E164" s="111"/>
      <c r="F164" s="108"/>
      <c r="G164" s="112"/>
      <c r="I164" s="110"/>
      <c r="K164" s="110"/>
    </row>
    <row r="165" ht="15.75" customHeight="1">
      <c r="D165" s="111"/>
      <c r="E165" s="111"/>
      <c r="F165" s="108"/>
      <c r="G165" s="112"/>
      <c r="I165" s="110"/>
      <c r="K165" s="110"/>
    </row>
    <row r="166" ht="15.75" customHeight="1">
      <c r="D166" s="111"/>
      <c r="E166" s="111"/>
      <c r="F166" s="108"/>
      <c r="G166" s="112"/>
      <c r="I166" s="110"/>
      <c r="K166" s="110"/>
    </row>
    <row r="167" ht="15.75" customHeight="1">
      <c r="D167" s="111"/>
      <c r="E167" s="111"/>
      <c r="F167" s="108"/>
      <c r="G167" s="112"/>
      <c r="I167" s="110"/>
      <c r="K167" s="110"/>
    </row>
    <row r="168" ht="15.75" customHeight="1">
      <c r="D168" s="111"/>
      <c r="E168" s="111"/>
      <c r="F168" s="108"/>
      <c r="G168" s="112"/>
      <c r="I168" s="110"/>
      <c r="K168" s="110"/>
    </row>
    <row r="169" ht="15.75" customHeight="1">
      <c r="D169" s="111"/>
      <c r="E169" s="111"/>
      <c r="F169" s="108"/>
      <c r="G169" s="112"/>
      <c r="I169" s="110"/>
      <c r="K169" s="110"/>
    </row>
    <row r="170" ht="15.75" customHeight="1">
      <c r="D170" s="111"/>
      <c r="E170" s="111"/>
      <c r="F170" s="108"/>
      <c r="G170" s="112"/>
      <c r="I170" s="110"/>
      <c r="K170" s="110"/>
    </row>
    <row r="171" ht="15.75" customHeight="1">
      <c r="D171" s="111"/>
      <c r="E171" s="111"/>
      <c r="F171" s="108"/>
      <c r="G171" s="112"/>
      <c r="I171" s="110"/>
      <c r="K171" s="110"/>
    </row>
    <row r="172" ht="15.75" customHeight="1">
      <c r="D172" s="111"/>
      <c r="E172" s="111"/>
      <c r="F172" s="108"/>
      <c r="G172" s="112"/>
      <c r="I172" s="110"/>
      <c r="K172" s="110"/>
    </row>
    <row r="173" ht="15.75" customHeight="1">
      <c r="D173" s="111"/>
      <c r="E173" s="111"/>
      <c r="F173" s="108"/>
      <c r="G173" s="112"/>
      <c r="I173" s="110"/>
      <c r="K173" s="110"/>
    </row>
    <row r="174" ht="15.75" customHeight="1">
      <c r="D174" s="111"/>
      <c r="E174" s="111"/>
      <c r="F174" s="108"/>
      <c r="G174" s="112"/>
      <c r="I174" s="110"/>
      <c r="K174" s="110"/>
    </row>
    <row r="175" ht="15.75" customHeight="1">
      <c r="D175" s="111"/>
      <c r="E175" s="111"/>
      <c r="F175" s="108"/>
      <c r="G175" s="112"/>
      <c r="I175" s="110"/>
      <c r="K175" s="110"/>
    </row>
    <row r="176" ht="15.75" customHeight="1">
      <c r="D176" s="111"/>
      <c r="E176" s="111"/>
      <c r="F176" s="108"/>
      <c r="G176" s="112"/>
      <c r="I176" s="110"/>
      <c r="K176" s="110"/>
    </row>
    <row r="177" ht="15.75" customHeight="1">
      <c r="D177" s="111"/>
      <c r="E177" s="111"/>
      <c r="F177" s="108"/>
      <c r="G177" s="112"/>
      <c r="I177" s="110"/>
      <c r="K177" s="110"/>
    </row>
    <row r="178" ht="15.75" customHeight="1">
      <c r="D178" s="111"/>
      <c r="E178" s="111"/>
      <c r="F178" s="108"/>
      <c r="G178" s="112"/>
      <c r="I178" s="110"/>
      <c r="K178" s="110"/>
    </row>
    <row r="179" ht="15.75" customHeight="1">
      <c r="D179" s="111"/>
      <c r="E179" s="111"/>
      <c r="F179" s="108"/>
      <c r="G179" s="112"/>
      <c r="I179" s="110"/>
      <c r="K179" s="110"/>
    </row>
    <row r="180" ht="15.75" customHeight="1">
      <c r="D180" s="111"/>
      <c r="E180" s="111"/>
      <c r="F180" s="108"/>
      <c r="G180" s="112"/>
      <c r="I180" s="110"/>
      <c r="K180" s="110"/>
    </row>
    <row r="181" ht="15.75" customHeight="1">
      <c r="D181" s="111"/>
      <c r="E181" s="111"/>
      <c r="F181" s="108"/>
      <c r="G181" s="112"/>
      <c r="I181" s="110"/>
      <c r="K181" s="110"/>
    </row>
    <row r="182" ht="15.75" customHeight="1">
      <c r="D182" s="111"/>
      <c r="E182" s="111"/>
      <c r="F182" s="108"/>
      <c r="G182" s="112"/>
      <c r="I182" s="110"/>
      <c r="K182" s="110"/>
    </row>
    <row r="183" ht="15.75" customHeight="1">
      <c r="D183" s="111"/>
      <c r="E183" s="111"/>
      <c r="F183" s="108"/>
      <c r="G183" s="112"/>
      <c r="I183" s="110"/>
      <c r="K183" s="110"/>
    </row>
    <row r="184" ht="15.75" customHeight="1">
      <c r="D184" s="111"/>
      <c r="E184" s="111"/>
      <c r="F184" s="108"/>
      <c r="G184" s="112"/>
      <c r="I184" s="110"/>
      <c r="K184" s="110"/>
    </row>
    <row r="185" ht="15.75" customHeight="1">
      <c r="D185" s="111"/>
      <c r="E185" s="111"/>
      <c r="F185" s="108"/>
      <c r="G185" s="112"/>
      <c r="I185" s="110"/>
      <c r="K185" s="110"/>
    </row>
    <row r="186" ht="15.75" customHeight="1">
      <c r="D186" s="111"/>
      <c r="E186" s="111"/>
      <c r="F186" s="108"/>
      <c r="G186" s="112"/>
      <c r="I186" s="110"/>
      <c r="K186" s="110"/>
    </row>
    <row r="187" ht="15.75" customHeight="1">
      <c r="D187" s="111"/>
      <c r="E187" s="111"/>
      <c r="F187" s="108"/>
      <c r="G187" s="112"/>
      <c r="I187" s="110"/>
      <c r="K187" s="110"/>
    </row>
    <row r="188" ht="15.75" customHeight="1">
      <c r="D188" s="111"/>
      <c r="E188" s="111"/>
      <c r="F188" s="108"/>
      <c r="G188" s="112"/>
      <c r="I188" s="110"/>
      <c r="K188" s="110"/>
    </row>
    <row r="189" ht="15.75" customHeight="1">
      <c r="D189" s="111"/>
      <c r="E189" s="111"/>
      <c r="F189" s="108"/>
      <c r="G189" s="112"/>
      <c r="I189" s="110"/>
      <c r="K189" s="110"/>
    </row>
    <row r="190" ht="15.75" customHeight="1">
      <c r="D190" s="111"/>
      <c r="E190" s="111"/>
      <c r="F190" s="108"/>
      <c r="G190" s="112"/>
      <c r="I190" s="110"/>
      <c r="K190" s="110"/>
    </row>
    <row r="191" ht="15.75" customHeight="1">
      <c r="D191" s="111"/>
      <c r="E191" s="111"/>
      <c r="F191" s="108"/>
      <c r="G191" s="112"/>
      <c r="I191" s="110"/>
      <c r="K191" s="110"/>
    </row>
    <row r="192" ht="15.75" customHeight="1">
      <c r="D192" s="111"/>
      <c r="E192" s="111"/>
      <c r="F192" s="108"/>
      <c r="G192" s="112"/>
      <c r="I192" s="110"/>
      <c r="K192" s="110"/>
    </row>
    <row r="193" ht="15.75" customHeight="1">
      <c r="D193" s="111"/>
      <c r="E193" s="111"/>
      <c r="F193" s="108"/>
      <c r="G193" s="112"/>
      <c r="I193" s="110"/>
      <c r="K193" s="110"/>
    </row>
    <row r="194" ht="15.75" customHeight="1">
      <c r="D194" s="111"/>
      <c r="E194" s="111"/>
      <c r="F194" s="108"/>
      <c r="G194" s="112"/>
      <c r="I194" s="110"/>
      <c r="K194" s="110"/>
    </row>
    <row r="195" ht="15.75" customHeight="1">
      <c r="D195" s="111"/>
      <c r="E195" s="111"/>
      <c r="F195" s="108"/>
      <c r="G195" s="112"/>
      <c r="I195" s="110"/>
      <c r="K195" s="110"/>
    </row>
    <row r="196" ht="15.75" customHeight="1">
      <c r="D196" s="111"/>
      <c r="E196" s="111"/>
      <c r="F196" s="108"/>
      <c r="G196" s="112"/>
      <c r="I196" s="110"/>
      <c r="K196" s="110"/>
    </row>
    <row r="197" ht="15.75" customHeight="1">
      <c r="D197" s="111"/>
      <c r="E197" s="111"/>
      <c r="F197" s="108"/>
      <c r="G197" s="112"/>
      <c r="I197" s="110"/>
      <c r="K197" s="110"/>
    </row>
    <row r="198" ht="15.75" customHeight="1">
      <c r="D198" s="111"/>
      <c r="E198" s="111"/>
      <c r="F198" s="108"/>
      <c r="G198" s="112"/>
      <c r="I198" s="110"/>
      <c r="K198" s="110"/>
    </row>
    <row r="199" ht="15.75" customHeight="1">
      <c r="D199" s="111"/>
      <c r="E199" s="111"/>
      <c r="F199" s="108"/>
      <c r="G199" s="112"/>
      <c r="I199" s="110"/>
      <c r="K199" s="110"/>
    </row>
    <row r="200" ht="15.75" customHeight="1">
      <c r="D200" s="111"/>
      <c r="E200" s="111"/>
      <c r="F200" s="108"/>
      <c r="G200" s="112"/>
      <c r="I200" s="110"/>
      <c r="K200" s="110"/>
    </row>
    <row r="201" ht="15.75" customHeight="1">
      <c r="D201" s="111"/>
      <c r="E201" s="111"/>
      <c r="F201" s="108"/>
      <c r="G201" s="112"/>
      <c r="I201" s="110"/>
      <c r="K201" s="110"/>
    </row>
    <row r="202" ht="15.75" customHeight="1">
      <c r="D202" s="111"/>
      <c r="E202" s="111"/>
      <c r="F202" s="108"/>
      <c r="G202" s="112"/>
      <c r="I202" s="110"/>
      <c r="K202" s="110"/>
    </row>
    <row r="203" ht="15.75" customHeight="1">
      <c r="D203" s="111"/>
      <c r="E203" s="111"/>
      <c r="F203" s="108"/>
      <c r="G203" s="112"/>
      <c r="I203" s="110"/>
      <c r="K203" s="110"/>
    </row>
    <row r="204" ht="15.75" customHeight="1">
      <c r="D204" s="111"/>
      <c r="E204" s="111"/>
      <c r="F204" s="108"/>
      <c r="G204" s="112"/>
      <c r="I204" s="110"/>
      <c r="K204" s="110"/>
    </row>
    <row r="205" ht="15.75" customHeight="1">
      <c r="D205" s="111"/>
      <c r="E205" s="111"/>
      <c r="F205" s="108"/>
      <c r="G205" s="112"/>
      <c r="I205" s="110"/>
      <c r="K205" s="110"/>
    </row>
    <row r="206" ht="15.75" customHeight="1">
      <c r="D206" s="111"/>
      <c r="E206" s="111"/>
      <c r="F206" s="108"/>
      <c r="G206" s="112"/>
      <c r="I206" s="110"/>
      <c r="K206" s="110"/>
    </row>
    <row r="207" ht="15.75" customHeight="1">
      <c r="D207" s="111"/>
      <c r="E207" s="111"/>
      <c r="F207" s="108"/>
      <c r="G207" s="112"/>
      <c r="I207" s="110"/>
      <c r="K207" s="110"/>
    </row>
    <row r="208" ht="15.75" customHeight="1">
      <c r="D208" s="111"/>
      <c r="E208" s="111"/>
      <c r="F208" s="108"/>
      <c r="G208" s="112"/>
      <c r="I208" s="110"/>
      <c r="K208" s="110"/>
    </row>
    <row r="209" ht="15.75" customHeight="1">
      <c r="D209" s="111"/>
      <c r="E209" s="111"/>
      <c r="F209" s="108"/>
      <c r="G209" s="112"/>
      <c r="I209" s="110"/>
      <c r="K209" s="110"/>
    </row>
    <row r="210" ht="15.75" customHeight="1">
      <c r="D210" s="111"/>
      <c r="E210" s="111"/>
      <c r="F210" s="108"/>
      <c r="G210" s="112"/>
      <c r="I210" s="110"/>
      <c r="K210" s="110"/>
    </row>
    <row r="211" ht="15.75" customHeight="1">
      <c r="D211" s="111"/>
      <c r="E211" s="111"/>
      <c r="F211" s="108"/>
      <c r="G211" s="112"/>
      <c r="I211" s="110"/>
      <c r="K211" s="110"/>
    </row>
    <row r="212" ht="15.75" customHeight="1">
      <c r="D212" s="111"/>
      <c r="E212" s="111"/>
      <c r="F212" s="108"/>
      <c r="G212" s="112"/>
      <c r="I212" s="110"/>
      <c r="K212" s="110"/>
    </row>
    <row r="213" ht="15.75" customHeight="1">
      <c r="D213" s="111"/>
      <c r="E213" s="111"/>
      <c r="F213" s="108"/>
      <c r="G213" s="112"/>
      <c r="I213" s="110"/>
      <c r="K213" s="110"/>
    </row>
    <row r="214" ht="15.75" customHeight="1">
      <c r="D214" s="111"/>
      <c r="E214" s="111"/>
      <c r="F214" s="108"/>
      <c r="G214" s="112"/>
      <c r="I214" s="110"/>
      <c r="K214" s="110"/>
    </row>
    <row r="215" ht="15.75" customHeight="1">
      <c r="D215" s="111"/>
      <c r="E215" s="111"/>
      <c r="F215" s="108"/>
      <c r="G215" s="112"/>
      <c r="I215" s="110"/>
      <c r="K215" s="110"/>
    </row>
    <row r="216" ht="15.75" customHeight="1">
      <c r="D216" s="111"/>
      <c r="E216" s="111"/>
      <c r="F216" s="108"/>
      <c r="G216" s="112"/>
      <c r="I216" s="110"/>
      <c r="K216" s="110"/>
    </row>
    <row r="217" ht="15.75" customHeight="1">
      <c r="D217" s="111"/>
      <c r="E217" s="111"/>
      <c r="F217" s="108"/>
      <c r="G217" s="112"/>
      <c r="I217" s="110"/>
      <c r="K217" s="110"/>
    </row>
    <row r="218" ht="15.75" customHeight="1">
      <c r="D218" s="111"/>
      <c r="E218" s="111"/>
      <c r="F218" s="108"/>
      <c r="G218" s="112"/>
      <c r="I218" s="110"/>
      <c r="K218" s="110"/>
    </row>
    <row r="219" ht="15.75" customHeight="1">
      <c r="D219" s="111"/>
      <c r="E219" s="111"/>
      <c r="F219" s="108"/>
      <c r="G219" s="112"/>
      <c r="I219" s="110"/>
      <c r="K219" s="110"/>
    </row>
    <row r="220" ht="15.75" customHeight="1">
      <c r="D220" s="111"/>
      <c r="E220" s="111"/>
      <c r="F220" s="108"/>
      <c r="G220" s="112"/>
      <c r="I220" s="110"/>
      <c r="K220" s="110"/>
    </row>
    <row r="221" ht="15.75" customHeight="1">
      <c r="D221" s="111"/>
      <c r="E221" s="111"/>
      <c r="F221" s="108"/>
      <c r="G221" s="112"/>
      <c r="I221" s="110"/>
      <c r="K221" s="110"/>
    </row>
    <row r="222" ht="15.75" customHeight="1">
      <c r="D222" s="111"/>
      <c r="E222" s="111"/>
      <c r="F222" s="108"/>
      <c r="G222" s="112"/>
      <c r="I222" s="110"/>
      <c r="K222" s="110"/>
    </row>
    <row r="223" ht="15.75" customHeight="1">
      <c r="D223" s="111"/>
      <c r="E223" s="111"/>
      <c r="F223" s="108"/>
      <c r="G223" s="112"/>
      <c r="I223" s="110"/>
      <c r="K223" s="110"/>
    </row>
    <row r="224" ht="15.75" customHeight="1">
      <c r="D224" s="111"/>
      <c r="E224" s="111"/>
      <c r="F224" s="108"/>
      <c r="G224" s="112"/>
      <c r="I224" s="110"/>
      <c r="K224" s="110"/>
    </row>
    <row r="225" ht="15.75" customHeight="1">
      <c r="D225" s="111"/>
      <c r="E225" s="111"/>
      <c r="F225" s="108"/>
      <c r="G225" s="112"/>
      <c r="I225" s="110"/>
      <c r="K225" s="110"/>
    </row>
    <row r="226" ht="15.75" customHeight="1">
      <c r="D226" s="111"/>
      <c r="E226" s="111"/>
      <c r="F226" s="108"/>
      <c r="G226" s="112"/>
      <c r="I226" s="110"/>
      <c r="K226" s="110"/>
    </row>
    <row r="227" ht="15.75" customHeight="1">
      <c r="D227" s="111"/>
      <c r="E227" s="111"/>
      <c r="F227" s="108"/>
      <c r="G227" s="112"/>
      <c r="I227" s="110"/>
      <c r="K227" s="110"/>
    </row>
    <row r="228" ht="15.75" customHeight="1">
      <c r="D228" s="111"/>
      <c r="E228" s="111"/>
      <c r="F228" s="108"/>
      <c r="G228" s="112"/>
      <c r="I228" s="110"/>
      <c r="K228" s="110"/>
    </row>
    <row r="229" ht="15.75" customHeight="1">
      <c r="D229" s="111"/>
      <c r="E229" s="111"/>
      <c r="F229" s="108"/>
      <c r="G229" s="112"/>
      <c r="I229" s="110"/>
      <c r="K229" s="110"/>
    </row>
    <row r="230" ht="15.75" customHeight="1">
      <c r="D230" s="111"/>
      <c r="E230" s="111"/>
      <c r="F230" s="108"/>
      <c r="G230" s="112"/>
      <c r="I230" s="110"/>
      <c r="K230" s="110"/>
    </row>
    <row r="231" ht="15.75" customHeight="1">
      <c r="D231" s="111"/>
      <c r="E231" s="111"/>
      <c r="F231" s="108"/>
      <c r="G231" s="112"/>
      <c r="I231" s="110"/>
      <c r="K231" s="110"/>
    </row>
    <row r="232" ht="15.75" customHeight="1">
      <c r="D232" s="111"/>
      <c r="E232" s="111"/>
      <c r="F232" s="108"/>
      <c r="G232" s="112"/>
      <c r="I232" s="110"/>
      <c r="K232" s="110"/>
    </row>
    <row r="233" ht="15.75" customHeight="1">
      <c r="D233" s="111"/>
      <c r="E233" s="111"/>
      <c r="F233" s="108"/>
      <c r="G233" s="112"/>
      <c r="I233" s="110"/>
      <c r="K233" s="110"/>
    </row>
    <row r="234" ht="15.75" customHeight="1">
      <c r="D234" s="111"/>
      <c r="E234" s="111"/>
      <c r="F234" s="108"/>
      <c r="G234" s="112"/>
      <c r="I234" s="110"/>
      <c r="K234" s="110"/>
    </row>
    <row r="235" ht="15.75" customHeight="1">
      <c r="D235" s="111"/>
      <c r="E235" s="111"/>
      <c r="F235" s="108"/>
      <c r="G235" s="112"/>
      <c r="I235" s="110"/>
      <c r="K235" s="110"/>
    </row>
    <row r="236" ht="15.75" customHeight="1">
      <c r="D236" s="111"/>
      <c r="E236" s="111"/>
      <c r="F236" s="108"/>
      <c r="G236" s="112"/>
      <c r="I236" s="110"/>
      <c r="K236" s="110"/>
    </row>
    <row r="237" ht="15.75" customHeight="1">
      <c r="D237" s="111"/>
      <c r="E237" s="111"/>
      <c r="F237" s="108"/>
      <c r="G237" s="112"/>
      <c r="I237" s="110"/>
      <c r="K237" s="110"/>
    </row>
    <row r="238" ht="15.75" customHeight="1">
      <c r="D238" s="111"/>
      <c r="E238" s="111"/>
      <c r="F238" s="108"/>
      <c r="G238" s="112"/>
      <c r="I238" s="110"/>
      <c r="K238" s="110"/>
    </row>
    <row r="239" ht="15.75" customHeight="1">
      <c r="D239" s="111"/>
      <c r="E239" s="111"/>
      <c r="F239" s="108"/>
      <c r="G239" s="112"/>
      <c r="I239" s="110"/>
      <c r="K239" s="110"/>
    </row>
    <row r="240" ht="15.75" customHeight="1">
      <c r="D240" s="111"/>
      <c r="E240" s="111"/>
      <c r="F240" s="108"/>
      <c r="G240" s="112"/>
      <c r="I240" s="110"/>
      <c r="K240" s="110"/>
    </row>
    <row r="241" ht="15.75" customHeight="1">
      <c r="D241" s="111"/>
      <c r="E241" s="111"/>
      <c r="F241" s="108"/>
      <c r="G241" s="112"/>
      <c r="I241" s="110"/>
      <c r="K241" s="110"/>
    </row>
    <row r="242" ht="15.75" customHeight="1">
      <c r="D242" s="111"/>
      <c r="E242" s="111"/>
      <c r="F242" s="108"/>
      <c r="G242" s="112"/>
      <c r="I242" s="110"/>
      <c r="K242" s="110"/>
    </row>
    <row r="243" ht="15.75" customHeight="1">
      <c r="D243" s="111"/>
      <c r="E243" s="111"/>
      <c r="F243" s="108"/>
      <c r="G243" s="112"/>
      <c r="I243" s="110"/>
      <c r="K243" s="110"/>
    </row>
    <row r="244" ht="15.75" customHeight="1">
      <c r="D244" s="111"/>
      <c r="E244" s="111"/>
      <c r="F244" s="108"/>
      <c r="G244" s="112"/>
      <c r="I244" s="110"/>
      <c r="K244" s="110"/>
    </row>
    <row r="245" ht="15.75" customHeight="1">
      <c r="D245" s="111"/>
      <c r="E245" s="111"/>
      <c r="F245" s="108"/>
      <c r="G245" s="112"/>
      <c r="I245" s="110"/>
      <c r="K245" s="110"/>
    </row>
    <row r="246" ht="15.75" customHeight="1">
      <c r="D246" s="111"/>
      <c r="E246" s="111"/>
      <c r="F246" s="108"/>
      <c r="G246" s="112"/>
      <c r="I246" s="110"/>
      <c r="K246" s="110"/>
    </row>
    <row r="247" ht="15.75" customHeight="1">
      <c r="D247" s="111"/>
      <c r="E247" s="111"/>
      <c r="F247" s="108"/>
      <c r="G247" s="112"/>
      <c r="I247" s="110"/>
      <c r="K247" s="110"/>
    </row>
    <row r="248" ht="15.75" customHeight="1">
      <c r="D248" s="111"/>
      <c r="E248" s="111"/>
      <c r="F248" s="108"/>
      <c r="G248" s="112"/>
      <c r="I248" s="110"/>
      <c r="K248" s="110"/>
    </row>
    <row r="249" ht="15.75" customHeight="1">
      <c r="D249" s="111"/>
      <c r="E249" s="111"/>
      <c r="F249" s="108"/>
      <c r="G249" s="112"/>
      <c r="I249" s="110"/>
      <c r="K249" s="110"/>
    </row>
    <row r="250" ht="15.75" customHeight="1">
      <c r="D250" s="111"/>
      <c r="E250" s="111"/>
      <c r="F250" s="108"/>
      <c r="G250" s="112"/>
      <c r="I250" s="110"/>
      <c r="K250" s="110"/>
    </row>
    <row r="251" ht="15.75" customHeight="1">
      <c r="D251" s="111"/>
      <c r="E251" s="111"/>
      <c r="F251" s="108"/>
      <c r="G251" s="112"/>
      <c r="I251" s="110"/>
      <c r="K251" s="110"/>
    </row>
    <row r="252" ht="15.75" customHeight="1">
      <c r="D252" s="111"/>
      <c r="E252" s="111"/>
      <c r="F252" s="108"/>
      <c r="G252" s="112"/>
      <c r="I252" s="110"/>
      <c r="K252" s="110"/>
    </row>
    <row r="253" ht="15.75" customHeight="1">
      <c r="D253" s="111"/>
      <c r="E253" s="111"/>
      <c r="F253" s="108"/>
      <c r="G253" s="112"/>
      <c r="I253" s="110"/>
      <c r="K253" s="110"/>
    </row>
    <row r="254" ht="15.75" customHeight="1">
      <c r="D254" s="111"/>
      <c r="E254" s="111"/>
      <c r="F254" s="108"/>
      <c r="G254" s="112"/>
      <c r="I254" s="110"/>
      <c r="K254" s="110"/>
    </row>
    <row r="255" ht="15.75" customHeight="1">
      <c r="D255" s="111"/>
      <c r="E255" s="111"/>
      <c r="F255" s="108"/>
      <c r="G255" s="112"/>
      <c r="I255" s="110"/>
      <c r="K255" s="110"/>
    </row>
    <row r="256" ht="15.75" customHeight="1">
      <c r="D256" s="111"/>
      <c r="E256" s="111"/>
      <c r="F256" s="108"/>
      <c r="G256" s="112"/>
      <c r="I256" s="110"/>
      <c r="K256" s="110"/>
    </row>
    <row r="257" ht="15.75" customHeight="1">
      <c r="D257" s="111"/>
      <c r="E257" s="111"/>
      <c r="F257" s="108"/>
      <c r="G257" s="112"/>
      <c r="I257" s="110"/>
      <c r="K257" s="110"/>
    </row>
    <row r="258" ht="15.75" customHeight="1">
      <c r="D258" s="111"/>
      <c r="E258" s="111"/>
      <c r="F258" s="108"/>
      <c r="G258" s="112"/>
      <c r="I258" s="110"/>
      <c r="K258" s="110"/>
    </row>
    <row r="259" ht="15.75" customHeight="1">
      <c r="D259" s="111"/>
      <c r="E259" s="111"/>
      <c r="F259" s="108"/>
      <c r="G259" s="112"/>
      <c r="I259" s="110"/>
      <c r="K259" s="110"/>
    </row>
    <row r="260" ht="15.75" customHeight="1">
      <c r="D260" s="111"/>
      <c r="E260" s="111"/>
      <c r="F260" s="108"/>
      <c r="G260" s="112"/>
      <c r="I260" s="110"/>
      <c r="K260" s="110"/>
    </row>
    <row r="261" ht="15.75" customHeight="1">
      <c r="D261" s="111"/>
      <c r="E261" s="111"/>
      <c r="F261" s="108"/>
      <c r="G261" s="112"/>
      <c r="I261" s="110"/>
      <c r="K261" s="110"/>
    </row>
    <row r="262" ht="15.75" customHeight="1">
      <c r="D262" s="111"/>
      <c r="E262" s="111"/>
      <c r="F262" s="108"/>
      <c r="G262" s="112"/>
      <c r="I262" s="110"/>
      <c r="K262" s="110"/>
    </row>
    <row r="263" ht="15.75" customHeight="1">
      <c r="D263" s="111"/>
      <c r="E263" s="111"/>
      <c r="F263" s="108"/>
      <c r="G263" s="112"/>
      <c r="I263" s="110"/>
      <c r="K263" s="110"/>
    </row>
    <row r="264" ht="15.75" customHeight="1">
      <c r="D264" s="111"/>
      <c r="E264" s="111"/>
      <c r="F264" s="108"/>
      <c r="G264" s="112"/>
      <c r="I264" s="110"/>
      <c r="K264" s="110"/>
    </row>
    <row r="265" ht="15.75" customHeight="1">
      <c r="D265" s="111"/>
      <c r="E265" s="111"/>
      <c r="F265" s="108"/>
      <c r="G265" s="112"/>
      <c r="I265" s="110"/>
      <c r="K265" s="110"/>
    </row>
    <row r="266" ht="15.75" customHeight="1">
      <c r="D266" s="111"/>
      <c r="E266" s="111"/>
      <c r="F266" s="108"/>
      <c r="G266" s="112"/>
      <c r="I266" s="110"/>
      <c r="K266" s="110"/>
    </row>
    <row r="267" ht="15.75" customHeight="1">
      <c r="D267" s="111"/>
      <c r="E267" s="111"/>
      <c r="F267" s="108"/>
      <c r="G267" s="112"/>
      <c r="I267" s="110"/>
      <c r="K267" s="110"/>
    </row>
    <row r="268" ht="15.75" customHeight="1">
      <c r="D268" s="111"/>
      <c r="E268" s="111"/>
      <c r="F268" s="108"/>
      <c r="G268" s="112"/>
      <c r="I268" s="110"/>
      <c r="K268" s="110"/>
    </row>
    <row r="269" ht="15.75" customHeight="1">
      <c r="D269" s="111"/>
      <c r="E269" s="111"/>
      <c r="F269" s="108"/>
      <c r="G269" s="112"/>
      <c r="I269" s="110"/>
      <c r="K269" s="110"/>
    </row>
    <row r="270" ht="15.75" customHeight="1">
      <c r="D270" s="111"/>
      <c r="E270" s="111"/>
      <c r="F270" s="108"/>
      <c r="G270" s="112"/>
      <c r="I270" s="110"/>
      <c r="K270" s="110"/>
    </row>
    <row r="271" ht="15.75" customHeight="1">
      <c r="D271" s="111"/>
      <c r="E271" s="111"/>
      <c r="F271" s="108"/>
      <c r="G271" s="112"/>
      <c r="I271" s="110"/>
      <c r="K271" s="110"/>
    </row>
    <row r="272" ht="15.75" customHeight="1">
      <c r="D272" s="111"/>
      <c r="E272" s="111"/>
      <c r="F272" s="108"/>
      <c r="G272" s="112"/>
      <c r="I272" s="110"/>
      <c r="K272" s="110"/>
    </row>
    <row r="273" ht="15.75" customHeight="1">
      <c r="D273" s="111"/>
      <c r="E273" s="111"/>
      <c r="F273" s="108"/>
      <c r="G273" s="112"/>
      <c r="I273" s="110"/>
      <c r="K273" s="110"/>
    </row>
    <row r="274" ht="15.75" customHeight="1">
      <c r="D274" s="111"/>
      <c r="E274" s="111"/>
      <c r="F274" s="108"/>
      <c r="G274" s="112"/>
      <c r="I274" s="110"/>
      <c r="K274" s="110"/>
    </row>
    <row r="275" ht="15.75" customHeight="1">
      <c r="D275" s="111"/>
      <c r="E275" s="111"/>
      <c r="F275" s="108"/>
      <c r="G275" s="112"/>
      <c r="I275" s="110"/>
      <c r="K275" s="110"/>
    </row>
    <row r="276" ht="15.75" customHeight="1">
      <c r="D276" s="111"/>
      <c r="E276" s="111"/>
      <c r="F276" s="108"/>
      <c r="G276" s="112"/>
      <c r="I276" s="110"/>
      <c r="K276" s="110"/>
    </row>
    <row r="277" ht="15.75" customHeight="1">
      <c r="D277" s="111"/>
      <c r="E277" s="111"/>
      <c r="F277" s="108"/>
      <c r="G277" s="112"/>
      <c r="I277" s="110"/>
      <c r="K277" s="110"/>
    </row>
    <row r="278" ht="15.75" customHeight="1">
      <c r="D278" s="111"/>
      <c r="E278" s="111"/>
      <c r="F278" s="108"/>
      <c r="G278" s="112"/>
      <c r="I278" s="110"/>
      <c r="K278" s="110"/>
    </row>
    <row r="279" ht="15.75" customHeight="1">
      <c r="D279" s="111"/>
      <c r="E279" s="111"/>
      <c r="F279" s="108"/>
      <c r="G279" s="112"/>
      <c r="I279" s="110"/>
      <c r="K279" s="110"/>
    </row>
    <row r="280" ht="15.75" customHeight="1">
      <c r="D280" s="111"/>
      <c r="E280" s="111"/>
      <c r="F280" s="108"/>
      <c r="G280" s="112"/>
      <c r="I280" s="110"/>
      <c r="K280" s="110"/>
    </row>
    <row r="281" ht="15.75" customHeight="1">
      <c r="D281" s="111"/>
      <c r="E281" s="111"/>
      <c r="F281" s="108"/>
      <c r="G281" s="112"/>
      <c r="I281" s="110"/>
      <c r="K281" s="110"/>
    </row>
    <row r="282" ht="15.75" customHeight="1">
      <c r="D282" s="111"/>
      <c r="E282" s="111"/>
      <c r="F282" s="108"/>
      <c r="G282" s="112"/>
      <c r="I282" s="110"/>
      <c r="K282" s="110"/>
    </row>
    <row r="283" ht="15.75" customHeight="1">
      <c r="D283" s="111"/>
      <c r="E283" s="111"/>
      <c r="F283" s="108"/>
      <c r="G283" s="112"/>
      <c r="I283" s="110"/>
      <c r="K283" s="110"/>
    </row>
    <row r="284" ht="15.75" customHeight="1">
      <c r="D284" s="111"/>
      <c r="E284" s="111"/>
      <c r="F284" s="108"/>
      <c r="G284" s="112"/>
      <c r="I284" s="110"/>
      <c r="K284" s="110"/>
    </row>
    <row r="285" ht="15.75" customHeight="1">
      <c r="D285" s="111"/>
      <c r="E285" s="111"/>
      <c r="F285" s="108"/>
      <c r="G285" s="112"/>
      <c r="I285" s="110"/>
      <c r="K285" s="110"/>
    </row>
    <row r="286" ht="15.75" customHeight="1">
      <c r="D286" s="111"/>
      <c r="E286" s="111"/>
      <c r="F286" s="108"/>
      <c r="G286" s="112"/>
      <c r="I286" s="110"/>
      <c r="K286" s="110"/>
    </row>
    <row r="287" ht="15.75" customHeight="1">
      <c r="D287" s="111"/>
      <c r="E287" s="111"/>
      <c r="F287" s="108"/>
      <c r="G287" s="112"/>
      <c r="I287" s="110"/>
      <c r="K287" s="110"/>
    </row>
    <row r="288" ht="15.75" customHeight="1">
      <c r="D288" s="111"/>
      <c r="E288" s="111"/>
      <c r="F288" s="108"/>
      <c r="G288" s="112"/>
      <c r="I288" s="110"/>
      <c r="K288" s="110"/>
    </row>
    <row r="289" ht="15.75" customHeight="1">
      <c r="D289" s="111"/>
      <c r="E289" s="111"/>
      <c r="F289" s="108"/>
      <c r="G289" s="112"/>
      <c r="I289" s="110"/>
      <c r="K289" s="110"/>
    </row>
    <row r="290" ht="15.75" customHeight="1">
      <c r="D290" s="111"/>
      <c r="E290" s="111"/>
      <c r="F290" s="108"/>
      <c r="G290" s="112"/>
      <c r="I290" s="110"/>
      <c r="K290" s="110"/>
    </row>
    <row r="291" ht="15.75" customHeight="1">
      <c r="D291" s="111"/>
      <c r="E291" s="111"/>
      <c r="F291" s="108"/>
      <c r="G291" s="112"/>
      <c r="I291" s="110"/>
      <c r="K291" s="110"/>
    </row>
    <row r="292" ht="15.75" customHeight="1">
      <c r="D292" s="111"/>
      <c r="E292" s="111"/>
      <c r="F292" s="108"/>
      <c r="G292" s="112"/>
      <c r="I292" s="110"/>
      <c r="K292" s="110"/>
    </row>
    <row r="293" ht="15.75" customHeight="1">
      <c r="D293" s="111"/>
      <c r="E293" s="111"/>
      <c r="F293" s="108"/>
      <c r="G293" s="112"/>
      <c r="I293" s="110"/>
      <c r="K293" s="110"/>
    </row>
    <row r="294" ht="15.75" customHeight="1">
      <c r="D294" s="111"/>
      <c r="E294" s="111"/>
      <c r="F294" s="108"/>
      <c r="G294" s="112"/>
      <c r="I294" s="110"/>
      <c r="K294" s="110"/>
    </row>
    <row r="295" ht="15.75" customHeight="1">
      <c r="D295" s="111"/>
      <c r="E295" s="111"/>
      <c r="F295" s="108"/>
      <c r="G295" s="112"/>
      <c r="I295" s="110"/>
      <c r="K295" s="110"/>
    </row>
    <row r="296" ht="15.75" customHeight="1">
      <c r="D296" s="111"/>
      <c r="E296" s="111"/>
      <c r="F296" s="108"/>
      <c r="G296" s="112"/>
      <c r="I296" s="110"/>
      <c r="K296" s="110"/>
    </row>
    <row r="297" ht="15.75" customHeight="1">
      <c r="D297" s="111"/>
      <c r="E297" s="111"/>
      <c r="F297" s="108"/>
      <c r="G297" s="112"/>
      <c r="I297" s="110"/>
      <c r="K297" s="110"/>
    </row>
    <row r="298" ht="15.75" customHeight="1">
      <c r="D298" s="111"/>
      <c r="E298" s="111"/>
      <c r="F298" s="108"/>
      <c r="G298" s="112"/>
      <c r="I298" s="110"/>
      <c r="K298" s="110"/>
    </row>
    <row r="299" ht="15.75" customHeight="1">
      <c r="D299" s="111"/>
      <c r="E299" s="111"/>
      <c r="F299" s="108"/>
      <c r="G299" s="112"/>
      <c r="I299" s="110"/>
      <c r="K299" s="110"/>
    </row>
    <row r="300" ht="15.75" customHeight="1">
      <c r="D300" s="111"/>
      <c r="E300" s="111"/>
      <c r="F300" s="108"/>
      <c r="G300" s="112"/>
      <c r="I300" s="110"/>
      <c r="K300" s="110"/>
    </row>
    <row r="301" ht="15.75" customHeight="1">
      <c r="D301" s="111"/>
      <c r="E301" s="111"/>
      <c r="F301" s="108"/>
      <c r="G301" s="112"/>
      <c r="I301" s="110"/>
      <c r="K301" s="110"/>
    </row>
    <row r="302" ht="15.75" customHeight="1">
      <c r="D302" s="111"/>
      <c r="E302" s="111"/>
      <c r="F302" s="108"/>
      <c r="G302" s="112"/>
      <c r="I302" s="110"/>
      <c r="K302" s="110"/>
    </row>
    <row r="303" ht="15.75" customHeight="1">
      <c r="D303" s="111"/>
      <c r="E303" s="111"/>
      <c r="F303" s="108"/>
      <c r="G303" s="112"/>
      <c r="I303" s="110"/>
      <c r="K303" s="110"/>
    </row>
    <row r="304" ht="15.75" customHeight="1">
      <c r="D304" s="111"/>
      <c r="E304" s="111"/>
      <c r="F304" s="108"/>
      <c r="G304" s="112"/>
      <c r="I304" s="110"/>
      <c r="K304" s="110"/>
    </row>
    <row r="305" ht="15.75" customHeight="1">
      <c r="D305" s="111"/>
      <c r="E305" s="111"/>
      <c r="F305" s="108"/>
      <c r="G305" s="112"/>
      <c r="I305" s="110"/>
      <c r="K305" s="110"/>
    </row>
    <row r="306" ht="15.75" customHeight="1">
      <c r="D306" s="111"/>
      <c r="E306" s="111"/>
      <c r="F306" s="108"/>
      <c r="G306" s="112"/>
      <c r="I306" s="110"/>
      <c r="K306" s="110"/>
    </row>
    <row r="307" ht="15.75" customHeight="1">
      <c r="D307" s="111"/>
      <c r="E307" s="111"/>
      <c r="F307" s="108"/>
      <c r="G307" s="112"/>
      <c r="I307" s="110"/>
      <c r="K307" s="110"/>
    </row>
    <row r="308" ht="15.75" customHeight="1">
      <c r="D308" s="111"/>
      <c r="E308" s="111"/>
      <c r="F308" s="108"/>
      <c r="G308" s="112"/>
      <c r="I308" s="110"/>
      <c r="K308" s="110"/>
    </row>
    <row r="309" ht="15.75" customHeight="1">
      <c r="D309" s="111"/>
      <c r="E309" s="111"/>
      <c r="F309" s="108"/>
      <c r="G309" s="112"/>
      <c r="I309" s="110"/>
      <c r="K309" s="110"/>
    </row>
    <row r="310" ht="15.75" customHeight="1">
      <c r="D310" s="111"/>
      <c r="E310" s="111"/>
      <c r="F310" s="108"/>
      <c r="G310" s="112"/>
      <c r="I310" s="110"/>
      <c r="K310" s="110"/>
    </row>
    <row r="311" ht="15.75" customHeight="1">
      <c r="D311" s="111"/>
      <c r="E311" s="111"/>
      <c r="F311" s="108"/>
      <c r="G311" s="112"/>
      <c r="I311" s="110"/>
      <c r="K311" s="110"/>
    </row>
    <row r="312" ht="15.75" customHeight="1">
      <c r="D312" s="111"/>
      <c r="E312" s="111"/>
      <c r="F312" s="108"/>
      <c r="G312" s="112"/>
      <c r="I312" s="110"/>
      <c r="K312" s="110"/>
    </row>
    <row r="313" ht="15.75" customHeight="1">
      <c r="D313" s="111"/>
      <c r="E313" s="111"/>
      <c r="F313" s="108"/>
      <c r="G313" s="112"/>
      <c r="I313" s="110"/>
      <c r="K313" s="110"/>
    </row>
    <row r="314" ht="15.75" customHeight="1">
      <c r="D314" s="111"/>
      <c r="E314" s="111"/>
      <c r="F314" s="108"/>
      <c r="G314" s="112"/>
      <c r="I314" s="110"/>
      <c r="K314" s="110"/>
    </row>
    <row r="315" ht="15.75" customHeight="1">
      <c r="D315" s="111"/>
      <c r="E315" s="111"/>
      <c r="F315" s="108"/>
      <c r="G315" s="112"/>
      <c r="I315" s="110"/>
      <c r="K315" s="110"/>
    </row>
    <row r="316" ht="15.75" customHeight="1">
      <c r="D316" s="111"/>
      <c r="E316" s="111"/>
      <c r="F316" s="108"/>
      <c r="G316" s="112"/>
      <c r="I316" s="110"/>
      <c r="K316" s="110"/>
    </row>
    <row r="317" ht="15.75" customHeight="1">
      <c r="D317" s="111"/>
      <c r="E317" s="111"/>
      <c r="F317" s="108"/>
      <c r="G317" s="112"/>
      <c r="I317" s="110"/>
      <c r="K317" s="110"/>
    </row>
    <row r="318" ht="15.75" customHeight="1">
      <c r="D318" s="111"/>
      <c r="E318" s="111"/>
      <c r="F318" s="108"/>
      <c r="G318" s="112"/>
      <c r="I318" s="110"/>
      <c r="K318" s="110"/>
    </row>
    <row r="319" ht="15.75" customHeight="1">
      <c r="D319" s="111"/>
      <c r="E319" s="111"/>
      <c r="F319" s="108"/>
      <c r="G319" s="112"/>
      <c r="I319" s="110"/>
      <c r="K319" s="110"/>
    </row>
    <row r="320" ht="15.75" customHeight="1">
      <c r="D320" s="111"/>
      <c r="E320" s="111"/>
      <c r="F320" s="108"/>
      <c r="G320" s="112"/>
      <c r="I320" s="110"/>
      <c r="K320" s="110"/>
    </row>
    <row r="321" ht="15.75" customHeight="1">
      <c r="D321" s="111"/>
      <c r="E321" s="111"/>
      <c r="F321" s="108"/>
      <c r="G321" s="112"/>
      <c r="I321" s="110"/>
      <c r="K321" s="110"/>
    </row>
    <row r="322" ht="15.75" customHeight="1">
      <c r="D322" s="111"/>
      <c r="E322" s="111"/>
      <c r="F322" s="108"/>
      <c r="G322" s="112"/>
      <c r="I322" s="110"/>
      <c r="K322" s="110"/>
    </row>
    <row r="323" ht="15.75" customHeight="1">
      <c r="D323" s="111"/>
      <c r="E323" s="111"/>
      <c r="F323" s="108"/>
      <c r="G323" s="112"/>
      <c r="I323" s="110"/>
      <c r="K323" s="110"/>
    </row>
    <row r="324" ht="15.75" customHeight="1">
      <c r="D324" s="111"/>
      <c r="E324" s="111"/>
      <c r="F324" s="108"/>
      <c r="G324" s="112"/>
      <c r="I324" s="110"/>
      <c r="K324" s="110"/>
    </row>
    <row r="325" ht="15.75" customHeight="1">
      <c r="D325" s="111"/>
      <c r="E325" s="111"/>
      <c r="F325" s="108"/>
      <c r="G325" s="112"/>
      <c r="I325" s="110"/>
      <c r="K325" s="110"/>
    </row>
    <row r="326" ht="15.75" customHeight="1">
      <c r="D326" s="111"/>
      <c r="E326" s="111"/>
      <c r="F326" s="108"/>
      <c r="G326" s="112"/>
      <c r="I326" s="110"/>
      <c r="K326" s="110"/>
    </row>
    <row r="327" ht="15.75" customHeight="1">
      <c r="D327" s="111"/>
      <c r="E327" s="111"/>
      <c r="F327" s="108"/>
      <c r="G327" s="112"/>
      <c r="I327" s="110"/>
      <c r="K327" s="110"/>
    </row>
    <row r="328" ht="15.75" customHeight="1">
      <c r="D328" s="111"/>
      <c r="E328" s="111"/>
      <c r="F328" s="108"/>
      <c r="G328" s="112"/>
      <c r="I328" s="110"/>
      <c r="K328" s="110"/>
    </row>
    <row r="329" ht="15.75" customHeight="1">
      <c r="D329" s="111"/>
      <c r="E329" s="111"/>
      <c r="F329" s="108"/>
      <c r="G329" s="112"/>
      <c r="I329" s="110"/>
      <c r="K329" s="110"/>
    </row>
    <row r="330" ht="15.75" customHeight="1">
      <c r="D330" s="111"/>
      <c r="E330" s="111"/>
      <c r="F330" s="108"/>
      <c r="G330" s="112"/>
      <c r="I330" s="110"/>
      <c r="K330" s="110"/>
    </row>
    <row r="331" ht="15.75" customHeight="1">
      <c r="D331" s="111"/>
      <c r="E331" s="111"/>
      <c r="F331" s="108"/>
      <c r="G331" s="112"/>
      <c r="I331" s="110"/>
      <c r="K331" s="110"/>
    </row>
    <row r="332" ht="15.75" customHeight="1">
      <c r="D332" s="111"/>
      <c r="E332" s="111"/>
      <c r="F332" s="108"/>
      <c r="G332" s="112"/>
      <c r="I332" s="110"/>
      <c r="K332" s="110"/>
    </row>
    <row r="333" ht="15.75" customHeight="1">
      <c r="D333" s="111"/>
      <c r="E333" s="111"/>
      <c r="F333" s="108"/>
      <c r="G333" s="112"/>
      <c r="I333" s="110"/>
      <c r="K333" s="110"/>
    </row>
    <row r="334" ht="15.75" customHeight="1">
      <c r="D334" s="111"/>
      <c r="E334" s="111"/>
      <c r="F334" s="108"/>
      <c r="G334" s="112"/>
      <c r="I334" s="110"/>
      <c r="K334" s="110"/>
    </row>
    <row r="335" ht="15.75" customHeight="1">
      <c r="D335" s="111"/>
      <c r="E335" s="111"/>
      <c r="F335" s="108"/>
      <c r="G335" s="112"/>
      <c r="I335" s="110"/>
      <c r="K335" s="110"/>
    </row>
    <row r="336" ht="15.75" customHeight="1">
      <c r="D336" s="111"/>
      <c r="E336" s="111"/>
      <c r="F336" s="108"/>
      <c r="G336" s="112"/>
      <c r="I336" s="110"/>
      <c r="K336" s="110"/>
    </row>
    <row r="337" ht="15.75" customHeight="1">
      <c r="D337" s="111"/>
      <c r="E337" s="111"/>
      <c r="F337" s="108"/>
      <c r="G337" s="112"/>
      <c r="I337" s="110"/>
      <c r="K337" s="110"/>
    </row>
    <row r="338" ht="15.75" customHeight="1">
      <c r="D338" s="111"/>
      <c r="E338" s="111"/>
      <c r="F338" s="108"/>
      <c r="G338" s="112"/>
      <c r="I338" s="110"/>
      <c r="K338" s="110"/>
    </row>
    <row r="339" ht="15.75" customHeight="1">
      <c r="D339" s="111"/>
      <c r="E339" s="111"/>
      <c r="F339" s="108"/>
      <c r="G339" s="112"/>
      <c r="I339" s="110"/>
      <c r="K339" s="110"/>
    </row>
    <row r="340" ht="15.75" customHeight="1">
      <c r="D340" s="111"/>
      <c r="E340" s="111"/>
      <c r="F340" s="108"/>
      <c r="G340" s="112"/>
      <c r="I340" s="110"/>
      <c r="K340" s="110"/>
    </row>
    <row r="341" ht="15.75" customHeight="1">
      <c r="D341" s="111"/>
      <c r="E341" s="111"/>
      <c r="F341" s="108"/>
      <c r="G341" s="112"/>
      <c r="I341" s="110"/>
      <c r="K341" s="110"/>
    </row>
    <row r="342" ht="15.75" customHeight="1">
      <c r="D342" s="111"/>
      <c r="E342" s="111"/>
      <c r="F342" s="108"/>
      <c r="G342" s="112"/>
      <c r="I342" s="110"/>
      <c r="K342" s="110"/>
    </row>
    <row r="343" ht="15.75" customHeight="1">
      <c r="D343" s="111"/>
      <c r="E343" s="111"/>
      <c r="F343" s="108"/>
      <c r="G343" s="112"/>
      <c r="I343" s="110"/>
      <c r="K343" s="110"/>
    </row>
    <row r="344" ht="15.75" customHeight="1">
      <c r="D344" s="111"/>
      <c r="E344" s="111"/>
      <c r="F344" s="108"/>
      <c r="G344" s="112"/>
      <c r="I344" s="110"/>
      <c r="K344" s="110"/>
    </row>
    <row r="345" ht="15.75" customHeight="1">
      <c r="D345" s="111"/>
      <c r="E345" s="111"/>
      <c r="F345" s="108"/>
      <c r="G345" s="112"/>
      <c r="I345" s="110"/>
      <c r="K345" s="110"/>
    </row>
    <row r="346" ht="15.75" customHeight="1">
      <c r="D346" s="111"/>
      <c r="E346" s="111"/>
      <c r="F346" s="108"/>
      <c r="G346" s="112"/>
      <c r="I346" s="110"/>
      <c r="K346" s="110"/>
    </row>
    <row r="347" ht="15.75" customHeight="1">
      <c r="D347" s="111"/>
      <c r="E347" s="111"/>
      <c r="F347" s="108"/>
      <c r="G347" s="112"/>
      <c r="I347" s="110"/>
      <c r="K347" s="110"/>
    </row>
    <row r="348" ht="15.75" customHeight="1">
      <c r="D348" s="111"/>
      <c r="E348" s="111"/>
      <c r="F348" s="108"/>
      <c r="G348" s="112"/>
      <c r="I348" s="110"/>
      <c r="K348" s="110"/>
    </row>
    <row r="349" ht="15.75" customHeight="1">
      <c r="D349" s="111"/>
      <c r="E349" s="111"/>
      <c r="F349" s="108"/>
      <c r="G349" s="112"/>
      <c r="I349" s="110"/>
      <c r="K349" s="110"/>
    </row>
    <row r="350" ht="15.75" customHeight="1">
      <c r="D350" s="111"/>
      <c r="E350" s="111"/>
      <c r="F350" s="108"/>
      <c r="G350" s="112"/>
      <c r="I350" s="110"/>
      <c r="K350" s="110"/>
    </row>
    <row r="351" ht="15.75" customHeight="1">
      <c r="D351" s="111"/>
      <c r="E351" s="111"/>
      <c r="F351" s="108"/>
      <c r="G351" s="112"/>
      <c r="I351" s="110"/>
      <c r="K351" s="110"/>
    </row>
    <row r="352" ht="15.75" customHeight="1">
      <c r="D352" s="111"/>
      <c r="E352" s="111"/>
      <c r="F352" s="108"/>
      <c r="G352" s="112"/>
      <c r="I352" s="110"/>
      <c r="K352" s="110"/>
    </row>
    <row r="353" ht="15.75" customHeight="1">
      <c r="D353" s="111"/>
      <c r="E353" s="111"/>
      <c r="F353" s="108"/>
      <c r="G353" s="112"/>
      <c r="I353" s="110"/>
      <c r="K353" s="110"/>
    </row>
    <row r="354" ht="15.75" customHeight="1">
      <c r="D354" s="111"/>
      <c r="E354" s="111"/>
      <c r="F354" s="108"/>
      <c r="G354" s="112"/>
      <c r="I354" s="110"/>
      <c r="K354" s="110"/>
    </row>
    <row r="355" ht="15.75" customHeight="1">
      <c r="D355" s="111"/>
      <c r="E355" s="111"/>
      <c r="F355" s="108"/>
      <c r="G355" s="112"/>
      <c r="I355" s="110"/>
      <c r="K355" s="110"/>
    </row>
    <row r="356" ht="15.75" customHeight="1">
      <c r="D356" s="111"/>
      <c r="E356" s="111"/>
      <c r="F356" s="108"/>
      <c r="G356" s="112"/>
      <c r="I356" s="110"/>
      <c r="K356" s="110"/>
    </row>
    <row r="357" ht="15.75" customHeight="1">
      <c r="D357" s="111"/>
      <c r="E357" s="111"/>
      <c r="F357" s="108"/>
      <c r="G357" s="112"/>
      <c r="I357" s="110"/>
      <c r="K357" s="110"/>
    </row>
    <row r="358" ht="15.75" customHeight="1">
      <c r="D358" s="111"/>
      <c r="E358" s="111"/>
      <c r="F358" s="108"/>
      <c r="G358" s="112"/>
      <c r="I358" s="110"/>
      <c r="K358" s="110"/>
    </row>
    <row r="359" ht="15.75" customHeight="1">
      <c r="D359" s="111"/>
      <c r="E359" s="111"/>
      <c r="F359" s="108"/>
      <c r="G359" s="112"/>
      <c r="I359" s="110"/>
      <c r="K359" s="110"/>
    </row>
    <row r="360" ht="15.75" customHeight="1">
      <c r="D360" s="111"/>
      <c r="E360" s="111"/>
      <c r="F360" s="108"/>
      <c r="G360" s="112"/>
      <c r="I360" s="110"/>
      <c r="K360" s="110"/>
    </row>
    <row r="361" ht="15.75" customHeight="1">
      <c r="D361" s="111"/>
      <c r="E361" s="111"/>
      <c r="F361" s="108"/>
      <c r="G361" s="112"/>
      <c r="I361" s="110"/>
      <c r="K361" s="110"/>
    </row>
    <row r="362" ht="15.75" customHeight="1">
      <c r="D362" s="111"/>
      <c r="E362" s="111"/>
      <c r="F362" s="108"/>
      <c r="G362" s="112"/>
      <c r="I362" s="110"/>
      <c r="K362" s="110"/>
    </row>
    <row r="363" ht="15.75" customHeight="1">
      <c r="D363" s="111"/>
      <c r="E363" s="111"/>
      <c r="F363" s="108"/>
      <c r="G363" s="112"/>
      <c r="I363" s="110"/>
      <c r="K363" s="110"/>
    </row>
    <row r="364" ht="15.75" customHeight="1">
      <c r="D364" s="111"/>
      <c r="E364" s="111"/>
      <c r="F364" s="108"/>
      <c r="G364" s="112"/>
      <c r="I364" s="110"/>
      <c r="K364" s="110"/>
    </row>
    <row r="365" ht="15.75" customHeight="1">
      <c r="D365" s="111"/>
      <c r="E365" s="111"/>
      <c r="F365" s="108"/>
      <c r="G365" s="112"/>
      <c r="I365" s="110"/>
      <c r="K365" s="110"/>
    </row>
    <row r="366" ht="15.75" customHeight="1">
      <c r="D366" s="111"/>
      <c r="E366" s="111"/>
      <c r="F366" s="108"/>
      <c r="G366" s="112"/>
      <c r="I366" s="110"/>
      <c r="K366" s="110"/>
    </row>
    <row r="367" ht="15.75" customHeight="1">
      <c r="D367" s="111"/>
      <c r="E367" s="111"/>
      <c r="F367" s="108"/>
      <c r="G367" s="112"/>
      <c r="I367" s="110"/>
      <c r="K367" s="110"/>
    </row>
    <row r="368" ht="15.75" customHeight="1">
      <c r="D368" s="111"/>
      <c r="E368" s="111"/>
      <c r="F368" s="108"/>
      <c r="G368" s="112"/>
      <c r="I368" s="110"/>
      <c r="K368" s="110"/>
    </row>
    <row r="369" ht="15.75" customHeight="1">
      <c r="D369" s="111"/>
      <c r="E369" s="111"/>
      <c r="F369" s="108"/>
      <c r="G369" s="112"/>
      <c r="I369" s="110"/>
      <c r="K369" s="110"/>
    </row>
    <row r="370" ht="15.75" customHeight="1">
      <c r="D370" s="111"/>
      <c r="E370" s="111"/>
      <c r="F370" s="108"/>
      <c r="G370" s="112"/>
      <c r="I370" s="110"/>
      <c r="K370" s="110"/>
    </row>
    <row r="371" ht="15.75" customHeight="1">
      <c r="D371" s="111"/>
      <c r="E371" s="111"/>
      <c r="F371" s="108"/>
      <c r="G371" s="112"/>
      <c r="I371" s="110"/>
      <c r="K371" s="110"/>
    </row>
    <row r="372" ht="15.75" customHeight="1">
      <c r="D372" s="111"/>
      <c r="E372" s="111"/>
      <c r="F372" s="108"/>
      <c r="G372" s="112"/>
      <c r="I372" s="110"/>
      <c r="K372" s="110"/>
    </row>
    <row r="373" ht="15.75" customHeight="1">
      <c r="D373" s="111"/>
      <c r="E373" s="111"/>
      <c r="F373" s="108"/>
      <c r="G373" s="112"/>
      <c r="I373" s="110"/>
      <c r="K373" s="110"/>
    </row>
    <row r="374" ht="15.75" customHeight="1">
      <c r="D374" s="111"/>
      <c r="E374" s="111"/>
      <c r="F374" s="108"/>
      <c r="G374" s="112"/>
      <c r="I374" s="110"/>
      <c r="K374" s="110"/>
    </row>
    <row r="375" ht="15.75" customHeight="1">
      <c r="D375" s="111"/>
      <c r="E375" s="111"/>
      <c r="F375" s="108"/>
      <c r="G375" s="112"/>
      <c r="I375" s="110"/>
      <c r="K375" s="110"/>
    </row>
    <row r="376" ht="15.75" customHeight="1">
      <c r="D376" s="111"/>
      <c r="E376" s="111"/>
      <c r="F376" s="108"/>
      <c r="G376" s="112"/>
      <c r="I376" s="110"/>
      <c r="K376" s="110"/>
    </row>
    <row r="377" ht="15.75" customHeight="1">
      <c r="D377" s="111"/>
      <c r="E377" s="111"/>
      <c r="F377" s="108"/>
      <c r="G377" s="112"/>
      <c r="I377" s="110"/>
      <c r="K377" s="110"/>
    </row>
    <row r="378" ht="15.75" customHeight="1">
      <c r="D378" s="111"/>
      <c r="E378" s="111"/>
      <c r="F378" s="108"/>
      <c r="G378" s="112"/>
      <c r="I378" s="110"/>
      <c r="K378" s="110"/>
    </row>
    <row r="379" ht="15.75" customHeight="1">
      <c r="D379" s="111"/>
      <c r="E379" s="111"/>
      <c r="F379" s="108"/>
      <c r="G379" s="112"/>
      <c r="I379" s="110"/>
      <c r="K379" s="110"/>
    </row>
    <row r="380" ht="15.75" customHeight="1">
      <c r="D380" s="111"/>
      <c r="E380" s="111"/>
      <c r="F380" s="108"/>
      <c r="G380" s="112"/>
      <c r="I380" s="110"/>
      <c r="K380" s="110"/>
    </row>
    <row r="381" ht="15.75" customHeight="1">
      <c r="D381" s="111"/>
      <c r="E381" s="111"/>
      <c r="F381" s="108"/>
      <c r="G381" s="112"/>
      <c r="I381" s="110"/>
      <c r="K381" s="110"/>
    </row>
    <row r="382" ht="15.75" customHeight="1">
      <c r="D382" s="111"/>
      <c r="E382" s="111"/>
      <c r="F382" s="108"/>
      <c r="G382" s="112"/>
      <c r="I382" s="110"/>
      <c r="K382" s="110"/>
    </row>
    <row r="383" ht="15.75" customHeight="1">
      <c r="D383" s="111"/>
      <c r="E383" s="111"/>
      <c r="F383" s="108"/>
      <c r="G383" s="112"/>
      <c r="I383" s="110"/>
      <c r="K383" s="110"/>
    </row>
    <row r="384" ht="15.75" customHeight="1">
      <c r="D384" s="111"/>
      <c r="E384" s="111"/>
      <c r="F384" s="108"/>
      <c r="G384" s="112"/>
      <c r="I384" s="110"/>
      <c r="K384" s="110"/>
    </row>
    <row r="385" ht="15.75" customHeight="1">
      <c r="D385" s="111"/>
      <c r="E385" s="111"/>
      <c r="F385" s="108"/>
      <c r="G385" s="112"/>
      <c r="I385" s="110"/>
      <c r="K385" s="110"/>
    </row>
    <row r="386" ht="15.75" customHeight="1">
      <c r="D386" s="111"/>
      <c r="E386" s="111"/>
      <c r="F386" s="108"/>
      <c r="G386" s="112"/>
      <c r="I386" s="110"/>
      <c r="K386" s="110"/>
    </row>
    <row r="387" ht="15.75" customHeight="1">
      <c r="D387" s="111"/>
      <c r="E387" s="111"/>
      <c r="F387" s="108"/>
      <c r="G387" s="112"/>
      <c r="I387" s="110"/>
      <c r="K387" s="110"/>
    </row>
    <row r="388" ht="15.75" customHeight="1">
      <c r="D388" s="111"/>
      <c r="E388" s="111"/>
      <c r="F388" s="108"/>
      <c r="G388" s="112"/>
      <c r="I388" s="110"/>
      <c r="K388" s="110"/>
    </row>
    <row r="389" ht="15.75" customHeight="1">
      <c r="D389" s="111"/>
      <c r="E389" s="111"/>
      <c r="F389" s="108"/>
      <c r="G389" s="112"/>
      <c r="I389" s="110"/>
      <c r="K389" s="110"/>
    </row>
    <row r="390" ht="15.75" customHeight="1">
      <c r="D390" s="111"/>
      <c r="E390" s="111"/>
      <c r="F390" s="108"/>
      <c r="G390" s="112"/>
      <c r="I390" s="110"/>
      <c r="K390" s="110"/>
    </row>
    <row r="391" ht="15.75" customHeight="1">
      <c r="D391" s="111"/>
      <c r="E391" s="111"/>
      <c r="F391" s="108"/>
      <c r="G391" s="112"/>
      <c r="I391" s="110"/>
      <c r="K391" s="110"/>
    </row>
    <row r="392" ht="15.75" customHeight="1">
      <c r="D392" s="111"/>
      <c r="E392" s="111"/>
      <c r="F392" s="108"/>
      <c r="G392" s="112"/>
      <c r="I392" s="110"/>
      <c r="K392" s="110"/>
    </row>
    <row r="393" ht="15.75" customHeight="1">
      <c r="D393" s="111"/>
      <c r="E393" s="111"/>
      <c r="F393" s="108"/>
      <c r="G393" s="112"/>
      <c r="I393" s="110"/>
      <c r="K393" s="110"/>
    </row>
    <row r="394" ht="15.75" customHeight="1">
      <c r="D394" s="111"/>
      <c r="E394" s="111"/>
      <c r="F394" s="108"/>
      <c r="G394" s="112"/>
      <c r="I394" s="110"/>
      <c r="K394" s="110"/>
    </row>
    <row r="395" ht="15.75" customHeight="1">
      <c r="D395" s="111"/>
      <c r="E395" s="111"/>
      <c r="F395" s="108"/>
      <c r="G395" s="112"/>
      <c r="I395" s="110"/>
      <c r="K395" s="110"/>
    </row>
    <row r="396" ht="15.75" customHeight="1">
      <c r="D396" s="111"/>
      <c r="E396" s="111"/>
      <c r="F396" s="108"/>
      <c r="G396" s="112"/>
      <c r="I396" s="110"/>
      <c r="K396" s="110"/>
    </row>
    <row r="397" ht="15.75" customHeight="1">
      <c r="D397" s="111"/>
      <c r="E397" s="111"/>
      <c r="F397" s="108"/>
      <c r="G397" s="112"/>
      <c r="I397" s="110"/>
      <c r="K397" s="110"/>
    </row>
    <row r="398" ht="15.75" customHeight="1">
      <c r="D398" s="111"/>
      <c r="E398" s="111"/>
      <c r="F398" s="108"/>
      <c r="G398" s="112"/>
      <c r="I398" s="110"/>
      <c r="K398" s="110"/>
    </row>
    <row r="399" ht="15.75" customHeight="1">
      <c r="D399" s="111"/>
      <c r="E399" s="111"/>
      <c r="F399" s="108"/>
      <c r="G399" s="112"/>
      <c r="I399" s="110"/>
      <c r="K399" s="110"/>
    </row>
    <row r="400" ht="15.75" customHeight="1">
      <c r="D400" s="111"/>
      <c r="E400" s="111"/>
      <c r="F400" s="108"/>
      <c r="G400" s="112"/>
      <c r="I400" s="110"/>
      <c r="K400" s="110"/>
    </row>
    <row r="401" ht="15.75" customHeight="1">
      <c r="D401" s="111"/>
      <c r="E401" s="111"/>
      <c r="F401" s="108"/>
      <c r="G401" s="112"/>
      <c r="I401" s="110"/>
      <c r="K401" s="110"/>
    </row>
    <row r="402" ht="15.75" customHeight="1">
      <c r="D402" s="111"/>
      <c r="E402" s="111"/>
      <c r="F402" s="108"/>
      <c r="G402" s="112"/>
      <c r="I402" s="110"/>
      <c r="K402" s="110"/>
    </row>
    <row r="403" ht="15.75" customHeight="1">
      <c r="D403" s="111"/>
      <c r="E403" s="111"/>
      <c r="F403" s="108"/>
      <c r="G403" s="112"/>
      <c r="I403" s="110"/>
      <c r="K403" s="110"/>
    </row>
    <row r="404" ht="15.75" customHeight="1">
      <c r="D404" s="111"/>
      <c r="E404" s="111"/>
      <c r="F404" s="108"/>
      <c r="G404" s="112"/>
      <c r="I404" s="110"/>
      <c r="K404" s="110"/>
    </row>
    <row r="405" ht="15.75" customHeight="1">
      <c r="D405" s="111"/>
      <c r="E405" s="111"/>
      <c r="F405" s="108"/>
      <c r="G405" s="112"/>
      <c r="I405" s="110"/>
      <c r="K405" s="110"/>
    </row>
    <row r="406" ht="15.75" customHeight="1">
      <c r="D406" s="111"/>
      <c r="E406" s="111"/>
      <c r="F406" s="108"/>
      <c r="G406" s="112"/>
      <c r="I406" s="110"/>
      <c r="K406" s="110"/>
    </row>
    <row r="407" ht="15.75" customHeight="1">
      <c r="D407" s="111"/>
      <c r="E407" s="111"/>
      <c r="F407" s="108"/>
      <c r="G407" s="112"/>
      <c r="I407" s="110"/>
      <c r="K407" s="110"/>
    </row>
    <row r="408" ht="15.75" customHeight="1">
      <c r="D408" s="111"/>
      <c r="E408" s="111"/>
      <c r="F408" s="108"/>
      <c r="G408" s="112"/>
      <c r="I408" s="110"/>
      <c r="K408" s="110"/>
    </row>
    <row r="409" ht="15.75" customHeight="1">
      <c r="D409" s="111"/>
      <c r="E409" s="111"/>
      <c r="F409" s="108"/>
      <c r="G409" s="112"/>
      <c r="I409" s="110"/>
      <c r="K409" s="110"/>
    </row>
    <row r="410" ht="15.75" customHeight="1">
      <c r="D410" s="111"/>
      <c r="E410" s="111"/>
      <c r="F410" s="108"/>
      <c r="G410" s="112"/>
      <c r="I410" s="110"/>
      <c r="K410" s="110"/>
    </row>
    <row r="411" ht="15.75" customHeight="1">
      <c r="D411" s="111"/>
      <c r="E411" s="111"/>
      <c r="F411" s="108"/>
      <c r="G411" s="112"/>
      <c r="I411" s="110"/>
      <c r="K411" s="110"/>
    </row>
    <row r="412" ht="15.75" customHeight="1">
      <c r="D412" s="111"/>
      <c r="E412" s="111"/>
      <c r="F412" s="108"/>
      <c r="G412" s="112"/>
      <c r="I412" s="110"/>
      <c r="K412" s="110"/>
    </row>
    <row r="413" ht="15.75" customHeight="1">
      <c r="D413" s="111"/>
      <c r="E413" s="111"/>
      <c r="F413" s="108"/>
      <c r="G413" s="112"/>
      <c r="I413" s="110"/>
      <c r="K413" s="110"/>
    </row>
    <row r="414" ht="15.75" customHeight="1">
      <c r="D414" s="111"/>
      <c r="E414" s="111"/>
      <c r="F414" s="108"/>
      <c r="G414" s="112"/>
      <c r="I414" s="110"/>
      <c r="K414" s="110"/>
    </row>
    <row r="415" ht="15.75" customHeight="1">
      <c r="D415" s="111"/>
      <c r="E415" s="111"/>
      <c r="F415" s="108"/>
      <c r="G415" s="112"/>
      <c r="I415" s="110"/>
      <c r="K415" s="110"/>
    </row>
    <row r="416" ht="15.75" customHeight="1">
      <c r="D416" s="111"/>
      <c r="E416" s="111"/>
      <c r="F416" s="108"/>
      <c r="G416" s="112"/>
      <c r="I416" s="110"/>
      <c r="K416" s="110"/>
    </row>
    <row r="417" ht="15.75" customHeight="1">
      <c r="D417" s="111"/>
      <c r="E417" s="111"/>
      <c r="F417" s="108"/>
      <c r="G417" s="112"/>
      <c r="I417" s="110"/>
      <c r="K417" s="110"/>
    </row>
    <row r="418" ht="15.75" customHeight="1">
      <c r="D418" s="111"/>
      <c r="E418" s="111"/>
      <c r="F418" s="108"/>
      <c r="G418" s="112"/>
      <c r="I418" s="110"/>
      <c r="K418" s="110"/>
    </row>
    <row r="419" ht="15.75" customHeight="1">
      <c r="D419" s="111"/>
      <c r="E419" s="111"/>
      <c r="F419" s="108"/>
      <c r="G419" s="112"/>
      <c r="I419" s="110"/>
      <c r="K419" s="110"/>
    </row>
    <row r="420" ht="15.75" customHeight="1">
      <c r="D420" s="111"/>
      <c r="E420" s="111"/>
      <c r="F420" s="108"/>
      <c r="G420" s="112"/>
      <c r="I420" s="110"/>
      <c r="K420" s="110"/>
    </row>
    <row r="421" ht="15.75" customHeight="1">
      <c r="D421" s="111"/>
      <c r="E421" s="111"/>
      <c r="F421" s="108"/>
      <c r="G421" s="112"/>
      <c r="I421" s="110"/>
      <c r="K421" s="110"/>
    </row>
    <row r="422" ht="15.75" customHeight="1">
      <c r="D422" s="111"/>
      <c r="E422" s="111"/>
      <c r="F422" s="108"/>
      <c r="G422" s="112"/>
      <c r="I422" s="110"/>
      <c r="K422" s="110"/>
    </row>
    <row r="423" ht="15.75" customHeight="1">
      <c r="D423" s="111"/>
      <c r="E423" s="111"/>
      <c r="F423" s="108"/>
      <c r="G423" s="112"/>
      <c r="I423" s="110"/>
      <c r="K423" s="110"/>
    </row>
    <row r="424" ht="15.75" customHeight="1">
      <c r="D424" s="111"/>
      <c r="E424" s="111"/>
      <c r="F424" s="108"/>
      <c r="G424" s="112"/>
      <c r="I424" s="110"/>
      <c r="K424" s="110"/>
    </row>
    <row r="425" ht="15.75" customHeight="1">
      <c r="D425" s="111"/>
      <c r="E425" s="111"/>
      <c r="F425" s="108"/>
      <c r="G425" s="112"/>
      <c r="I425" s="110"/>
      <c r="K425" s="110"/>
    </row>
    <row r="426" ht="15.75" customHeight="1">
      <c r="D426" s="111"/>
      <c r="E426" s="111"/>
      <c r="F426" s="108"/>
      <c r="G426" s="112"/>
      <c r="I426" s="110"/>
      <c r="K426" s="110"/>
    </row>
    <row r="427" ht="15.75" customHeight="1">
      <c r="D427" s="111"/>
      <c r="E427" s="111"/>
      <c r="F427" s="108"/>
      <c r="G427" s="112"/>
      <c r="I427" s="110"/>
      <c r="K427" s="110"/>
    </row>
    <row r="428" ht="15.75" customHeight="1">
      <c r="D428" s="111"/>
      <c r="E428" s="111"/>
      <c r="F428" s="108"/>
      <c r="G428" s="112"/>
      <c r="I428" s="110"/>
      <c r="K428" s="110"/>
    </row>
    <row r="429" ht="15.75" customHeight="1">
      <c r="D429" s="111"/>
      <c r="E429" s="111"/>
      <c r="F429" s="108"/>
      <c r="G429" s="112"/>
      <c r="I429" s="110"/>
      <c r="K429" s="110"/>
    </row>
    <row r="430" ht="15.75" customHeight="1">
      <c r="D430" s="111"/>
      <c r="E430" s="111"/>
      <c r="F430" s="108"/>
      <c r="G430" s="112"/>
      <c r="I430" s="110"/>
      <c r="K430" s="110"/>
    </row>
    <row r="431" ht="15.75" customHeight="1">
      <c r="D431" s="111"/>
      <c r="E431" s="111"/>
      <c r="F431" s="108"/>
      <c r="G431" s="112"/>
      <c r="I431" s="110"/>
      <c r="K431" s="110"/>
    </row>
    <row r="432" ht="15.75" customHeight="1">
      <c r="D432" s="111"/>
      <c r="E432" s="111"/>
      <c r="F432" s="108"/>
      <c r="G432" s="112"/>
      <c r="I432" s="110"/>
      <c r="K432" s="110"/>
    </row>
    <row r="433" ht="15.75" customHeight="1">
      <c r="D433" s="111"/>
      <c r="E433" s="111"/>
      <c r="F433" s="108"/>
      <c r="G433" s="112"/>
      <c r="I433" s="110"/>
      <c r="K433" s="110"/>
    </row>
    <row r="434" ht="15.75" customHeight="1">
      <c r="D434" s="111"/>
      <c r="E434" s="111"/>
      <c r="F434" s="108"/>
      <c r="G434" s="112"/>
      <c r="I434" s="110"/>
      <c r="K434" s="110"/>
    </row>
    <row r="435" ht="15.75" customHeight="1">
      <c r="D435" s="111"/>
      <c r="E435" s="111"/>
      <c r="F435" s="108"/>
      <c r="G435" s="112"/>
      <c r="I435" s="110"/>
      <c r="K435" s="110"/>
    </row>
    <row r="436" ht="15.75" customHeight="1">
      <c r="D436" s="111"/>
      <c r="E436" s="111"/>
      <c r="F436" s="108"/>
      <c r="G436" s="112"/>
      <c r="I436" s="110"/>
      <c r="K436" s="110"/>
    </row>
    <row r="437" ht="15.75" customHeight="1">
      <c r="D437" s="111"/>
      <c r="E437" s="111"/>
      <c r="F437" s="108"/>
      <c r="G437" s="112"/>
      <c r="I437" s="110"/>
      <c r="K437" s="110"/>
    </row>
    <row r="438" ht="15.75" customHeight="1">
      <c r="D438" s="111"/>
      <c r="E438" s="111"/>
      <c r="F438" s="108"/>
      <c r="G438" s="112"/>
      <c r="I438" s="110"/>
      <c r="K438" s="110"/>
    </row>
    <row r="439" ht="15.75" customHeight="1">
      <c r="D439" s="111"/>
      <c r="E439" s="111"/>
      <c r="F439" s="108"/>
      <c r="G439" s="112"/>
      <c r="I439" s="110"/>
      <c r="K439" s="110"/>
    </row>
    <row r="440" ht="15.75" customHeight="1">
      <c r="D440" s="111"/>
      <c r="E440" s="111"/>
      <c r="F440" s="108"/>
      <c r="G440" s="112"/>
      <c r="I440" s="110"/>
      <c r="K440" s="110"/>
    </row>
    <row r="441" ht="15.75" customHeight="1">
      <c r="D441" s="111"/>
      <c r="E441" s="111"/>
      <c r="F441" s="108"/>
      <c r="G441" s="112"/>
      <c r="I441" s="110"/>
      <c r="K441" s="110"/>
    </row>
    <row r="442" ht="15.75" customHeight="1">
      <c r="D442" s="111"/>
      <c r="E442" s="111"/>
      <c r="F442" s="108"/>
      <c r="G442" s="112"/>
      <c r="I442" s="110"/>
      <c r="K442" s="110"/>
    </row>
    <row r="443" ht="15.75" customHeight="1">
      <c r="D443" s="111"/>
      <c r="E443" s="111"/>
      <c r="F443" s="108"/>
      <c r="G443" s="112"/>
      <c r="I443" s="110"/>
      <c r="K443" s="110"/>
    </row>
    <row r="444" ht="15.75" customHeight="1">
      <c r="D444" s="111"/>
      <c r="E444" s="111"/>
      <c r="F444" s="108"/>
      <c r="G444" s="112"/>
      <c r="I444" s="110"/>
      <c r="K444" s="110"/>
    </row>
    <row r="445" ht="15.75" customHeight="1">
      <c r="D445" s="111"/>
      <c r="E445" s="111"/>
      <c r="F445" s="108"/>
      <c r="G445" s="112"/>
      <c r="I445" s="110"/>
      <c r="K445" s="110"/>
    </row>
    <row r="446" ht="15.75" customHeight="1">
      <c r="D446" s="111"/>
      <c r="E446" s="111"/>
      <c r="F446" s="108"/>
      <c r="G446" s="112"/>
      <c r="I446" s="110"/>
      <c r="K446" s="110"/>
    </row>
    <row r="447" ht="15.75" customHeight="1">
      <c r="D447" s="111"/>
      <c r="E447" s="111"/>
      <c r="F447" s="108"/>
      <c r="G447" s="112"/>
      <c r="I447" s="110"/>
      <c r="K447" s="110"/>
    </row>
    <row r="448" ht="15.75" customHeight="1">
      <c r="D448" s="111"/>
      <c r="E448" s="111"/>
      <c r="F448" s="108"/>
      <c r="G448" s="112"/>
      <c r="I448" s="110"/>
      <c r="K448" s="110"/>
    </row>
    <row r="449" ht="15.75" customHeight="1">
      <c r="D449" s="111"/>
      <c r="E449" s="111"/>
      <c r="F449" s="108"/>
      <c r="G449" s="112"/>
      <c r="I449" s="110"/>
      <c r="K449" s="110"/>
    </row>
    <row r="450" ht="15.75" customHeight="1">
      <c r="D450" s="111"/>
      <c r="E450" s="111"/>
      <c r="F450" s="108"/>
      <c r="G450" s="112"/>
      <c r="I450" s="110"/>
      <c r="K450" s="110"/>
    </row>
    <row r="451" ht="15.75" customHeight="1">
      <c r="D451" s="111"/>
      <c r="E451" s="111"/>
      <c r="F451" s="108"/>
      <c r="G451" s="112"/>
      <c r="I451" s="110"/>
      <c r="K451" s="110"/>
    </row>
    <row r="452" ht="15.75" customHeight="1">
      <c r="D452" s="111"/>
      <c r="E452" s="111"/>
      <c r="F452" s="108"/>
      <c r="G452" s="112"/>
      <c r="I452" s="110"/>
      <c r="K452" s="110"/>
    </row>
    <row r="453" ht="15.75" customHeight="1">
      <c r="D453" s="111"/>
      <c r="E453" s="111"/>
      <c r="F453" s="108"/>
      <c r="G453" s="112"/>
      <c r="I453" s="110"/>
      <c r="K453" s="110"/>
    </row>
    <row r="454" ht="15.75" customHeight="1">
      <c r="D454" s="111"/>
      <c r="E454" s="111"/>
      <c r="F454" s="108"/>
      <c r="G454" s="112"/>
      <c r="I454" s="110"/>
      <c r="K454" s="110"/>
    </row>
    <row r="455" ht="15.75" customHeight="1">
      <c r="D455" s="111"/>
      <c r="E455" s="111"/>
      <c r="F455" s="108"/>
      <c r="G455" s="112"/>
      <c r="I455" s="110"/>
      <c r="K455" s="110"/>
    </row>
    <row r="456" ht="15.75" customHeight="1">
      <c r="D456" s="111"/>
      <c r="E456" s="111"/>
      <c r="F456" s="108"/>
      <c r="G456" s="112"/>
      <c r="I456" s="110"/>
      <c r="K456" s="110"/>
    </row>
    <row r="457" ht="15.75" customHeight="1">
      <c r="D457" s="111"/>
      <c r="E457" s="111"/>
      <c r="F457" s="108"/>
      <c r="G457" s="112"/>
      <c r="I457" s="110"/>
      <c r="K457" s="110"/>
    </row>
    <row r="458" ht="15.75" customHeight="1">
      <c r="D458" s="111"/>
      <c r="E458" s="111"/>
      <c r="F458" s="108"/>
      <c r="G458" s="112"/>
      <c r="I458" s="110"/>
      <c r="K458" s="110"/>
    </row>
    <row r="459" ht="15.75" customHeight="1">
      <c r="D459" s="111"/>
      <c r="E459" s="111"/>
      <c r="F459" s="108"/>
      <c r="G459" s="112"/>
      <c r="I459" s="110"/>
      <c r="K459" s="110"/>
    </row>
    <row r="460" ht="15.75" customHeight="1">
      <c r="D460" s="111"/>
      <c r="E460" s="111"/>
      <c r="F460" s="108"/>
      <c r="G460" s="112"/>
      <c r="I460" s="110"/>
      <c r="K460" s="110"/>
    </row>
    <row r="461" ht="15.75" customHeight="1">
      <c r="D461" s="111"/>
      <c r="E461" s="111"/>
      <c r="F461" s="108"/>
      <c r="G461" s="112"/>
      <c r="I461" s="110"/>
      <c r="K461" s="110"/>
    </row>
    <row r="462" ht="15.75" customHeight="1">
      <c r="D462" s="111"/>
      <c r="E462" s="111"/>
      <c r="F462" s="108"/>
      <c r="G462" s="112"/>
      <c r="I462" s="110"/>
      <c r="K462" s="110"/>
    </row>
    <row r="463" ht="15.75" customHeight="1">
      <c r="D463" s="111"/>
      <c r="E463" s="111"/>
      <c r="F463" s="108"/>
      <c r="G463" s="112"/>
      <c r="I463" s="110"/>
      <c r="K463" s="110"/>
    </row>
    <row r="464" ht="15.75" customHeight="1">
      <c r="D464" s="111"/>
      <c r="E464" s="111"/>
      <c r="F464" s="108"/>
      <c r="G464" s="112"/>
      <c r="I464" s="110"/>
      <c r="K464" s="110"/>
    </row>
    <row r="465" ht="15.75" customHeight="1">
      <c r="D465" s="111"/>
      <c r="E465" s="111"/>
      <c r="F465" s="108"/>
      <c r="G465" s="112"/>
      <c r="I465" s="110"/>
      <c r="K465" s="110"/>
    </row>
    <row r="466" ht="15.75" customHeight="1">
      <c r="D466" s="111"/>
      <c r="E466" s="111"/>
      <c r="F466" s="108"/>
      <c r="G466" s="112"/>
      <c r="I466" s="110"/>
      <c r="K466" s="110"/>
    </row>
    <row r="467" ht="15.75" customHeight="1">
      <c r="D467" s="111"/>
      <c r="E467" s="111"/>
      <c r="F467" s="108"/>
      <c r="G467" s="112"/>
      <c r="I467" s="110"/>
      <c r="K467" s="110"/>
    </row>
    <row r="468" ht="15.75" customHeight="1">
      <c r="D468" s="111"/>
      <c r="E468" s="111"/>
      <c r="F468" s="108"/>
      <c r="G468" s="112"/>
      <c r="I468" s="110"/>
      <c r="K468" s="110"/>
    </row>
    <row r="469" ht="15.75" customHeight="1">
      <c r="D469" s="111"/>
      <c r="E469" s="111"/>
      <c r="F469" s="108"/>
      <c r="G469" s="112"/>
      <c r="I469" s="110"/>
      <c r="K469" s="110"/>
    </row>
    <row r="470" ht="15.75" customHeight="1">
      <c r="D470" s="111"/>
      <c r="E470" s="111"/>
      <c r="F470" s="108"/>
      <c r="G470" s="112"/>
      <c r="I470" s="110"/>
      <c r="K470" s="110"/>
    </row>
    <row r="471" ht="15.75" customHeight="1">
      <c r="D471" s="111"/>
      <c r="E471" s="111"/>
      <c r="F471" s="108"/>
      <c r="G471" s="112"/>
      <c r="I471" s="110"/>
      <c r="K471" s="110"/>
    </row>
    <row r="472" ht="15.75" customHeight="1">
      <c r="D472" s="111"/>
      <c r="E472" s="111"/>
      <c r="F472" s="108"/>
      <c r="G472" s="112"/>
      <c r="I472" s="110"/>
      <c r="K472" s="110"/>
    </row>
    <row r="473" ht="15.75" customHeight="1">
      <c r="D473" s="111"/>
      <c r="E473" s="111"/>
      <c r="F473" s="108"/>
      <c r="G473" s="112"/>
      <c r="I473" s="110"/>
      <c r="K473" s="110"/>
    </row>
    <row r="474" ht="15.75" customHeight="1">
      <c r="D474" s="111"/>
      <c r="E474" s="111"/>
      <c r="F474" s="108"/>
      <c r="G474" s="112"/>
      <c r="I474" s="110"/>
      <c r="K474" s="110"/>
    </row>
    <row r="475" ht="15.75" customHeight="1">
      <c r="D475" s="111"/>
      <c r="E475" s="111"/>
      <c r="F475" s="108"/>
      <c r="G475" s="112"/>
      <c r="I475" s="110"/>
      <c r="K475" s="110"/>
    </row>
    <row r="476" ht="15.75" customHeight="1">
      <c r="D476" s="111"/>
      <c r="E476" s="111"/>
      <c r="F476" s="108"/>
      <c r="G476" s="112"/>
      <c r="I476" s="110"/>
      <c r="K476" s="110"/>
    </row>
    <row r="477" ht="15.75" customHeight="1">
      <c r="D477" s="111"/>
      <c r="E477" s="111"/>
      <c r="F477" s="108"/>
      <c r="G477" s="112"/>
      <c r="I477" s="110"/>
      <c r="K477" s="110"/>
    </row>
    <row r="478" ht="15.75" customHeight="1">
      <c r="D478" s="111"/>
      <c r="E478" s="111"/>
      <c r="F478" s="108"/>
      <c r="G478" s="112"/>
      <c r="I478" s="110"/>
      <c r="K478" s="110"/>
    </row>
    <row r="479" ht="15.75" customHeight="1">
      <c r="D479" s="111"/>
      <c r="E479" s="111"/>
      <c r="F479" s="108"/>
      <c r="G479" s="112"/>
      <c r="I479" s="110"/>
      <c r="K479" s="110"/>
    </row>
    <row r="480" ht="15.75" customHeight="1">
      <c r="D480" s="111"/>
      <c r="E480" s="111"/>
      <c r="F480" s="108"/>
      <c r="G480" s="112"/>
      <c r="I480" s="110"/>
      <c r="K480" s="110"/>
    </row>
    <row r="481" ht="15.75" customHeight="1">
      <c r="D481" s="111"/>
      <c r="E481" s="111"/>
      <c r="F481" s="108"/>
      <c r="G481" s="112"/>
      <c r="I481" s="110"/>
      <c r="K481" s="110"/>
    </row>
    <row r="482" ht="15.75" customHeight="1">
      <c r="D482" s="111"/>
      <c r="E482" s="111"/>
      <c r="F482" s="108"/>
      <c r="G482" s="112"/>
      <c r="I482" s="110"/>
      <c r="K482" s="110"/>
    </row>
    <row r="483" ht="15.75" customHeight="1">
      <c r="D483" s="111"/>
      <c r="E483" s="111"/>
      <c r="F483" s="108"/>
      <c r="G483" s="112"/>
      <c r="I483" s="110"/>
      <c r="K483" s="110"/>
    </row>
    <row r="484" ht="15.75" customHeight="1">
      <c r="D484" s="111"/>
      <c r="E484" s="111"/>
      <c r="F484" s="108"/>
      <c r="G484" s="112"/>
      <c r="I484" s="110"/>
      <c r="K484" s="110"/>
    </row>
    <row r="485" ht="15.75" customHeight="1">
      <c r="D485" s="111"/>
      <c r="E485" s="111"/>
      <c r="F485" s="108"/>
      <c r="G485" s="112"/>
      <c r="I485" s="110"/>
      <c r="K485" s="110"/>
    </row>
    <row r="486" ht="15.75" customHeight="1">
      <c r="D486" s="111"/>
      <c r="E486" s="111"/>
      <c r="F486" s="108"/>
      <c r="G486" s="112"/>
      <c r="I486" s="110"/>
      <c r="K486" s="110"/>
    </row>
    <row r="487" ht="15.75" customHeight="1">
      <c r="D487" s="111"/>
      <c r="E487" s="111"/>
      <c r="F487" s="108"/>
      <c r="G487" s="112"/>
      <c r="I487" s="110"/>
      <c r="K487" s="110"/>
    </row>
    <row r="488" ht="15.75" customHeight="1">
      <c r="D488" s="111"/>
      <c r="E488" s="111"/>
      <c r="F488" s="108"/>
      <c r="G488" s="112"/>
      <c r="I488" s="110"/>
      <c r="K488" s="110"/>
    </row>
    <row r="489" ht="15.75" customHeight="1">
      <c r="D489" s="111"/>
      <c r="E489" s="111"/>
      <c r="F489" s="108"/>
      <c r="G489" s="112"/>
      <c r="I489" s="110"/>
      <c r="K489" s="110"/>
    </row>
    <row r="490" ht="15.75" customHeight="1">
      <c r="D490" s="111"/>
      <c r="E490" s="111"/>
      <c r="F490" s="108"/>
      <c r="G490" s="112"/>
      <c r="I490" s="110"/>
      <c r="K490" s="110"/>
    </row>
    <row r="491" ht="15.75" customHeight="1">
      <c r="D491" s="111"/>
      <c r="E491" s="111"/>
      <c r="F491" s="108"/>
      <c r="G491" s="112"/>
      <c r="I491" s="110"/>
      <c r="K491" s="110"/>
    </row>
    <row r="492" ht="15.75" customHeight="1">
      <c r="D492" s="111"/>
      <c r="E492" s="111"/>
      <c r="F492" s="108"/>
      <c r="G492" s="112"/>
      <c r="I492" s="110"/>
      <c r="K492" s="110"/>
    </row>
    <row r="493" ht="15.75" customHeight="1">
      <c r="D493" s="111"/>
      <c r="E493" s="111"/>
      <c r="F493" s="108"/>
      <c r="G493" s="112"/>
      <c r="I493" s="110"/>
      <c r="K493" s="110"/>
    </row>
    <row r="494" ht="15.75" customHeight="1">
      <c r="D494" s="111"/>
      <c r="E494" s="111"/>
      <c r="F494" s="108"/>
      <c r="G494" s="112"/>
      <c r="I494" s="110"/>
      <c r="K494" s="110"/>
    </row>
    <row r="495" ht="15.75" customHeight="1">
      <c r="D495" s="111"/>
      <c r="E495" s="111"/>
      <c r="F495" s="108"/>
      <c r="G495" s="112"/>
      <c r="I495" s="110"/>
      <c r="K495" s="110"/>
    </row>
    <row r="496" ht="15.75" customHeight="1">
      <c r="D496" s="111"/>
      <c r="E496" s="111"/>
      <c r="F496" s="108"/>
      <c r="G496" s="112"/>
      <c r="I496" s="110"/>
      <c r="K496" s="110"/>
    </row>
    <row r="497" ht="15.75" customHeight="1">
      <c r="D497" s="111"/>
      <c r="E497" s="111"/>
      <c r="F497" s="108"/>
      <c r="G497" s="112"/>
      <c r="I497" s="110"/>
      <c r="K497" s="110"/>
    </row>
    <row r="498" ht="15.75" customHeight="1">
      <c r="D498" s="111"/>
      <c r="E498" s="111"/>
      <c r="F498" s="108"/>
      <c r="G498" s="112"/>
      <c r="I498" s="110"/>
      <c r="K498" s="110"/>
    </row>
    <row r="499" ht="15.75" customHeight="1">
      <c r="D499" s="111"/>
      <c r="E499" s="111"/>
      <c r="F499" s="108"/>
      <c r="G499" s="112"/>
      <c r="I499" s="110"/>
      <c r="K499" s="110"/>
    </row>
    <row r="500" ht="15.75" customHeight="1">
      <c r="D500" s="111"/>
      <c r="E500" s="111"/>
      <c r="F500" s="108"/>
      <c r="G500" s="112"/>
      <c r="I500" s="110"/>
      <c r="K500" s="110"/>
    </row>
    <row r="501" ht="15.75" customHeight="1">
      <c r="D501" s="111"/>
      <c r="E501" s="111"/>
      <c r="F501" s="108"/>
      <c r="G501" s="112"/>
      <c r="I501" s="110"/>
      <c r="K501" s="110"/>
    </row>
    <row r="502" ht="15.75" customHeight="1">
      <c r="D502" s="111"/>
      <c r="E502" s="111"/>
      <c r="F502" s="108"/>
      <c r="G502" s="112"/>
      <c r="I502" s="110"/>
      <c r="K502" s="110"/>
    </row>
    <row r="503" ht="15.75" customHeight="1">
      <c r="D503" s="111"/>
      <c r="E503" s="111"/>
      <c r="F503" s="108"/>
      <c r="G503" s="112"/>
      <c r="I503" s="110"/>
      <c r="K503" s="110"/>
    </row>
    <row r="504" ht="15.75" customHeight="1">
      <c r="D504" s="111"/>
      <c r="E504" s="111"/>
      <c r="F504" s="108"/>
      <c r="G504" s="112"/>
      <c r="I504" s="110"/>
      <c r="K504" s="110"/>
    </row>
    <row r="505" ht="15.75" customHeight="1">
      <c r="D505" s="111"/>
      <c r="E505" s="111"/>
      <c r="F505" s="108"/>
      <c r="G505" s="112"/>
      <c r="I505" s="110"/>
      <c r="K505" s="110"/>
    </row>
    <row r="506" ht="15.75" customHeight="1">
      <c r="D506" s="111"/>
      <c r="E506" s="111"/>
      <c r="F506" s="108"/>
      <c r="G506" s="112"/>
      <c r="I506" s="110"/>
      <c r="K506" s="110"/>
    </row>
    <row r="507" ht="15.75" customHeight="1">
      <c r="D507" s="111"/>
      <c r="E507" s="111"/>
      <c r="F507" s="108"/>
      <c r="G507" s="112"/>
      <c r="I507" s="110"/>
      <c r="K507" s="110"/>
    </row>
    <row r="508" ht="15.75" customHeight="1">
      <c r="D508" s="111"/>
      <c r="E508" s="111"/>
      <c r="F508" s="108"/>
      <c r="G508" s="112"/>
      <c r="I508" s="110"/>
      <c r="K508" s="110"/>
    </row>
    <row r="509" ht="15.75" customHeight="1">
      <c r="D509" s="111"/>
      <c r="E509" s="111"/>
      <c r="F509" s="108"/>
      <c r="G509" s="112"/>
      <c r="I509" s="110"/>
      <c r="K509" s="110"/>
    </row>
    <row r="510" ht="15.75" customHeight="1">
      <c r="D510" s="111"/>
      <c r="E510" s="111"/>
      <c r="F510" s="108"/>
      <c r="G510" s="112"/>
      <c r="I510" s="110"/>
      <c r="K510" s="110"/>
    </row>
    <row r="511" ht="15.75" customHeight="1">
      <c r="D511" s="111"/>
      <c r="E511" s="111"/>
      <c r="F511" s="108"/>
      <c r="G511" s="112"/>
      <c r="I511" s="110"/>
      <c r="K511" s="110"/>
    </row>
    <row r="512" ht="15.75" customHeight="1">
      <c r="D512" s="111"/>
      <c r="E512" s="111"/>
      <c r="F512" s="108"/>
      <c r="G512" s="112"/>
      <c r="I512" s="110"/>
      <c r="K512" s="110"/>
    </row>
    <row r="513" ht="15.75" customHeight="1">
      <c r="D513" s="111"/>
      <c r="E513" s="111"/>
      <c r="F513" s="108"/>
      <c r="G513" s="112"/>
      <c r="I513" s="110"/>
      <c r="K513" s="110"/>
    </row>
    <row r="514" ht="15.75" customHeight="1">
      <c r="D514" s="111"/>
      <c r="E514" s="111"/>
      <c r="F514" s="108"/>
      <c r="G514" s="112"/>
      <c r="I514" s="110"/>
      <c r="K514" s="110"/>
    </row>
    <row r="515" ht="15.75" customHeight="1">
      <c r="D515" s="111"/>
      <c r="E515" s="111"/>
      <c r="F515" s="108"/>
      <c r="G515" s="112"/>
      <c r="I515" s="110"/>
      <c r="K515" s="110"/>
    </row>
    <row r="516" ht="15.75" customHeight="1">
      <c r="D516" s="111"/>
      <c r="E516" s="111"/>
      <c r="F516" s="108"/>
      <c r="G516" s="112"/>
      <c r="I516" s="110"/>
      <c r="K516" s="110"/>
    </row>
    <row r="517" ht="15.75" customHeight="1">
      <c r="D517" s="111"/>
      <c r="E517" s="111"/>
      <c r="F517" s="108"/>
      <c r="G517" s="112"/>
      <c r="I517" s="110"/>
      <c r="K517" s="110"/>
    </row>
    <row r="518" ht="15.75" customHeight="1">
      <c r="D518" s="111"/>
      <c r="E518" s="111"/>
      <c r="F518" s="108"/>
      <c r="G518" s="112"/>
      <c r="I518" s="110"/>
      <c r="K518" s="110"/>
    </row>
    <row r="519" ht="15.75" customHeight="1">
      <c r="D519" s="111"/>
      <c r="E519" s="111"/>
      <c r="F519" s="108"/>
      <c r="G519" s="112"/>
      <c r="I519" s="110"/>
      <c r="K519" s="110"/>
    </row>
    <row r="520" ht="15.75" customHeight="1">
      <c r="D520" s="111"/>
      <c r="E520" s="111"/>
      <c r="F520" s="108"/>
      <c r="G520" s="112"/>
      <c r="I520" s="110"/>
      <c r="K520" s="110"/>
    </row>
    <row r="521" ht="15.75" customHeight="1">
      <c r="D521" s="111"/>
      <c r="E521" s="111"/>
      <c r="F521" s="108"/>
      <c r="G521" s="112"/>
      <c r="I521" s="110"/>
      <c r="K521" s="110"/>
    </row>
    <row r="522" ht="15.75" customHeight="1">
      <c r="D522" s="111"/>
      <c r="E522" s="111"/>
      <c r="F522" s="108"/>
      <c r="G522" s="112"/>
      <c r="I522" s="110"/>
      <c r="K522" s="110"/>
    </row>
    <row r="523" ht="15.75" customHeight="1">
      <c r="D523" s="111"/>
      <c r="E523" s="111"/>
      <c r="F523" s="108"/>
      <c r="G523" s="112"/>
      <c r="I523" s="110"/>
      <c r="K523" s="110"/>
    </row>
    <row r="524" ht="15.75" customHeight="1">
      <c r="D524" s="111"/>
      <c r="E524" s="111"/>
      <c r="F524" s="108"/>
      <c r="G524" s="112"/>
      <c r="I524" s="110"/>
      <c r="K524" s="110"/>
    </row>
    <row r="525" ht="15.75" customHeight="1">
      <c r="D525" s="111"/>
      <c r="E525" s="111"/>
      <c r="F525" s="108"/>
      <c r="G525" s="112"/>
      <c r="I525" s="110"/>
      <c r="K525" s="110"/>
    </row>
    <row r="526" ht="15.75" customHeight="1">
      <c r="D526" s="111"/>
      <c r="E526" s="111"/>
      <c r="F526" s="108"/>
      <c r="G526" s="112"/>
      <c r="I526" s="110"/>
      <c r="K526" s="110"/>
    </row>
    <row r="527" ht="15.75" customHeight="1">
      <c r="D527" s="111"/>
      <c r="E527" s="111"/>
      <c r="F527" s="108"/>
      <c r="G527" s="112"/>
      <c r="I527" s="110"/>
      <c r="K527" s="110"/>
    </row>
    <row r="528" ht="15.75" customHeight="1">
      <c r="D528" s="111"/>
      <c r="E528" s="111"/>
      <c r="F528" s="108"/>
      <c r="G528" s="112"/>
      <c r="I528" s="110"/>
      <c r="K528" s="110"/>
    </row>
    <row r="529" ht="15.75" customHeight="1">
      <c r="D529" s="111"/>
      <c r="E529" s="111"/>
      <c r="F529" s="108"/>
      <c r="G529" s="112"/>
      <c r="I529" s="110"/>
      <c r="K529" s="110"/>
    </row>
    <row r="530" ht="15.75" customHeight="1">
      <c r="D530" s="111"/>
      <c r="E530" s="111"/>
      <c r="F530" s="108"/>
      <c r="G530" s="112"/>
      <c r="I530" s="110"/>
      <c r="K530" s="110"/>
    </row>
    <row r="531" ht="15.75" customHeight="1">
      <c r="D531" s="111"/>
      <c r="E531" s="111"/>
      <c r="F531" s="108"/>
      <c r="G531" s="112"/>
      <c r="I531" s="110"/>
      <c r="K531" s="110"/>
    </row>
    <row r="532" ht="15.75" customHeight="1">
      <c r="D532" s="111"/>
      <c r="E532" s="111"/>
      <c r="F532" s="108"/>
      <c r="G532" s="112"/>
      <c r="I532" s="110"/>
      <c r="K532" s="110"/>
    </row>
    <row r="533" ht="15.75" customHeight="1">
      <c r="D533" s="111"/>
      <c r="E533" s="111"/>
      <c r="F533" s="108"/>
      <c r="G533" s="112"/>
      <c r="I533" s="110"/>
      <c r="K533" s="110"/>
    </row>
    <row r="534" ht="15.75" customHeight="1">
      <c r="D534" s="111"/>
      <c r="E534" s="111"/>
      <c r="F534" s="108"/>
      <c r="G534" s="112"/>
      <c r="I534" s="110"/>
      <c r="K534" s="110"/>
    </row>
    <row r="535" ht="15.75" customHeight="1">
      <c r="D535" s="111"/>
      <c r="E535" s="111"/>
      <c r="F535" s="108"/>
      <c r="G535" s="112"/>
      <c r="I535" s="110"/>
      <c r="K535" s="110"/>
    </row>
    <row r="536" ht="15.75" customHeight="1">
      <c r="D536" s="111"/>
      <c r="E536" s="111"/>
      <c r="F536" s="108"/>
      <c r="G536" s="112"/>
      <c r="I536" s="110"/>
      <c r="K536" s="110"/>
    </row>
    <row r="537" ht="15.75" customHeight="1">
      <c r="D537" s="111"/>
      <c r="E537" s="111"/>
      <c r="F537" s="108"/>
      <c r="G537" s="112"/>
      <c r="I537" s="110"/>
      <c r="K537" s="110"/>
    </row>
    <row r="538" ht="15.75" customHeight="1">
      <c r="D538" s="111"/>
      <c r="E538" s="111"/>
      <c r="F538" s="108"/>
      <c r="G538" s="112"/>
      <c r="I538" s="110"/>
      <c r="K538" s="110"/>
    </row>
    <row r="539" ht="15.75" customHeight="1">
      <c r="D539" s="111"/>
      <c r="E539" s="111"/>
      <c r="F539" s="108"/>
      <c r="G539" s="112"/>
      <c r="I539" s="110"/>
      <c r="K539" s="110"/>
    </row>
    <row r="540" ht="15.75" customHeight="1">
      <c r="D540" s="111"/>
      <c r="E540" s="111"/>
      <c r="F540" s="108"/>
      <c r="G540" s="112"/>
      <c r="I540" s="110"/>
      <c r="K540" s="110"/>
    </row>
    <row r="541" ht="15.75" customHeight="1">
      <c r="D541" s="111"/>
      <c r="E541" s="111"/>
      <c r="F541" s="108"/>
      <c r="G541" s="112"/>
      <c r="I541" s="110"/>
      <c r="K541" s="110"/>
    </row>
    <row r="542" ht="15.75" customHeight="1">
      <c r="D542" s="111"/>
      <c r="E542" s="111"/>
      <c r="F542" s="108"/>
      <c r="G542" s="112"/>
      <c r="I542" s="110"/>
      <c r="K542" s="110"/>
    </row>
    <row r="543" ht="15.75" customHeight="1">
      <c r="D543" s="111"/>
      <c r="E543" s="111"/>
      <c r="F543" s="108"/>
      <c r="G543" s="112"/>
      <c r="I543" s="110"/>
      <c r="K543" s="110"/>
    </row>
    <row r="544" ht="15.75" customHeight="1">
      <c r="D544" s="111"/>
      <c r="E544" s="111"/>
      <c r="F544" s="108"/>
      <c r="G544" s="112"/>
      <c r="I544" s="110"/>
      <c r="K544" s="110"/>
    </row>
    <row r="545" ht="15.75" customHeight="1">
      <c r="D545" s="111"/>
      <c r="E545" s="111"/>
      <c r="F545" s="108"/>
      <c r="G545" s="112"/>
      <c r="I545" s="110"/>
      <c r="K545" s="110"/>
    </row>
    <row r="546" ht="15.75" customHeight="1">
      <c r="D546" s="111"/>
      <c r="E546" s="111"/>
      <c r="F546" s="108"/>
      <c r="G546" s="112"/>
      <c r="I546" s="110"/>
      <c r="K546" s="110"/>
    </row>
    <row r="547" ht="15.75" customHeight="1">
      <c r="D547" s="111"/>
      <c r="E547" s="111"/>
      <c r="F547" s="108"/>
      <c r="G547" s="112"/>
      <c r="I547" s="110"/>
      <c r="K547" s="110"/>
    </row>
    <row r="548" ht="15.75" customHeight="1">
      <c r="D548" s="111"/>
      <c r="E548" s="111"/>
      <c r="F548" s="108"/>
      <c r="G548" s="112"/>
      <c r="I548" s="110"/>
      <c r="K548" s="110"/>
    </row>
    <row r="549" ht="15.75" customHeight="1">
      <c r="D549" s="111"/>
      <c r="E549" s="111"/>
      <c r="F549" s="108"/>
      <c r="G549" s="112"/>
      <c r="I549" s="110"/>
      <c r="K549" s="110"/>
    </row>
    <row r="550" ht="15.75" customHeight="1">
      <c r="D550" s="111"/>
      <c r="E550" s="111"/>
      <c r="F550" s="108"/>
      <c r="G550" s="112"/>
      <c r="I550" s="110"/>
      <c r="K550" s="110"/>
    </row>
    <row r="551" ht="15.75" customHeight="1">
      <c r="D551" s="111"/>
      <c r="E551" s="111"/>
      <c r="F551" s="108"/>
      <c r="G551" s="112"/>
      <c r="I551" s="110"/>
      <c r="K551" s="110"/>
    </row>
    <row r="552" ht="15.75" customHeight="1">
      <c r="D552" s="111"/>
      <c r="E552" s="111"/>
      <c r="F552" s="108"/>
      <c r="G552" s="112"/>
      <c r="I552" s="110"/>
      <c r="K552" s="110"/>
    </row>
    <row r="553" ht="15.75" customHeight="1">
      <c r="D553" s="111"/>
      <c r="E553" s="111"/>
      <c r="F553" s="108"/>
      <c r="G553" s="112"/>
      <c r="I553" s="110"/>
      <c r="K553" s="110"/>
    </row>
    <row r="554" ht="15.75" customHeight="1">
      <c r="D554" s="111"/>
      <c r="E554" s="111"/>
      <c r="F554" s="108"/>
      <c r="G554" s="112"/>
      <c r="I554" s="110"/>
      <c r="K554" s="110"/>
    </row>
    <row r="555" ht="15.75" customHeight="1">
      <c r="D555" s="111"/>
      <c r="E555" s="111"/>
      <c r="F555" s="108"/>
      <c r="G555" s="112"/>
      <c r="I555" s="110"/>
      <c r="K555" s="110"/>
    </row>
    <row r="556" ht="15.75" customHeight="1">
      <c r="D556" s="111"/>
      <c r="E556" s="111"/>
      <c r="F556" s="108"/>
      <c r="G556" s="112"/>
      <c r="I556" s="110"/>
      <c r="K556" s="110"/>
    </row>
    <row r="557" ht="15.75" customHeight="1">
      <c r="D557" s="111"/>
      <c r="E557" s="111"/>
      <c r="F557" s="108"/>
      <c r="G557" s="112"/>
      <c r="I557" s="110"/>
      <c r="K557" s="110"/>
    </row>
    <row r="558" ht="15.75" customHeight="1">
      <c r="D558" s="111"/>
      <c r="E558" s="111"/>
      <c r="F558" s="108"/>
      <c r="G558" s="112"/>
      <c r="I558" s="110"/>
      <c r="K558" s="110"/>
    </row>
    <row r="559" ht="15.75" customHeight="1">
      <c r="D559" s="111"/>
      <c r="E559" s="111"/>
      <c r="F559" s="108"/>
      <c r="G559" s="112"/>
      <c r="I559" s="110"/>
      <c r="K559" s="110"/>
    </row>
    <row r="560" ht="15.75" customHeight="1">
      <c r="D560" s="111"/>
      <c r="E560" s="111"/>
      <c r="F560" s="108"/>
      <c r="G560" s="112"/>
      <c r="I560" s="110"/>
      <c r="K560" s="110"/>
    </row>
    <row r="561" ht="15.75" customHeight="1">
      <c r="D561" s="111"/>
      <c r="E561" s="111"/>
      <c r="F561" s="108"/>
      <c r="G561" s="112"/>
      <c r="I561" s="110"/>
      <c r="K561" s="110"/>
    </row>
    <row r="562" ht="15.75" customHeight="1">
      <c r="D562" s="111"/>
      <c r="E562" s="111"/>
      <c r="F562" s="108"/>
      <c r="G562" s="112"/>
      <c r="I562" s="110"/>
      <c r="K562" s="110"/>
    </row>
    <row r="563" ht="15.75" customHeight="1">
      <c r="D563" s="111"/>
      <c r="E563" s="111"/>
      <c r="F563" s="108"/>
      <c r="G563" s="112"/>
      <c r="I563" s="110"/>
      <c r="K563" s="110"/>
    </row>
    <row r="564" ht="15.75" customHeight="1">
      <c r="D564" s="111"/>
      <c r="E564" s="111"/>
      <c r="F564" s="108"/>
      <c r="G564" s="112"/>
      <c r="I564" s="110"/>
      <c r="K564" s="110"/>
    </row>
    <row r="565" ht="15.75" customHeight="1">
      <c r="D565" s="111"/>
      <c r="E565" s="111"/>
      <c r="F565" s="108"/>
      <c r="G565" s="112"/>
      <c r="I565" s="110"/>
      <c r="K565" s="110"/>
    </row>
    <row r="566" ht="15.75" customHeight="1">
      <c r="D566" s="111"/>
      <c r="E566" s="111"/>
      <c r="F566" s="108"/>
      <c r="G566" s="112"/>
      <c r="I566" s="110"/>
      <c r="K566" s="110"/>
    </row>
    <row r="567" ht="15.75" customHeight="1">
      <c r="D567" s="111"/>
      <c r="E567" s="111"/>
      <c r="F567" s="108"/>
      <c r="G567" s="112"/>
      <c r="I567" s="110"/>
      <c r="K567" s="110"/>
    </row>
    <row r="568" ht="15.75" customHeight="1">
      <c r="D568" s="111"/>
      <c r="E568" s="111"/>
      <c r="F568" s="108"/>
      <c r="G568" s="112"/>
      <c r="I568" s="110"/>
      <c r="K568" s="110"/>
    </row>
    <row r="569" ht="15.75" customHeight="1">
      <c r="D569" s="111"/>
      <c r="E569" s="111"/>
      <c r="F569" s="108"/>
      <c r="G569" s="112"/>
      <c r="I569" s="110"/>
      <c r="K569" s="110"/>
    </row>
    <row r="570" ht="15.75" customHeight="1">
      <c r="D570" s="111"/>
      <c r="E570" s="111"/>
      <c r="F570" s="108"/>
      <c r="G570" s="112"/>
      <c r="I570" s="110"/>
      <c r="K570" s="110"/>
    </row>
    <row r="571" ht="15.75" customHeight="1">
      <c r="D571" s="111"/>
      <c r="E571" s="111"/>
      <c r="F571" s="108"/>
      <c r="G571" s="112"/>
      <c r="I571" s="110"/>
      <c r="K571" s="110"/>
    </row>
    <row r="572" ht="15.75" customHeight="1">
      <c r="D572" s="111"/>
      <c r="E572" s="111"/>
      <c r="F572" s="108"/>
      <c r="G572" s="112"/>
      <c r="I572" s="110"/>
      <c r="K572" s="110"/>
    </row>
    <row r="573" ht="15.75" customHeight="1">
      <c r="D573" s="111"/>
      <c r="E573" s="111"/>
      <c r="F573" s="108"/>
      <c r="G573" s="112"/>
      <c r="I573" s="110"/>
      <c r="K573" s="110"/>
    </row>
    <row r="574" ht="15.75" customHeight="1">
      <c r="D574" s="111"/>
      <c r="E574" s="111"/>
      <c r="F574" s="108"/>
      <c r="G574" s="112"/>
      <c r="I574" s="110"/>
      <c r="K574" s="110"/>
    </row>
    <row r="575" ht="15.75" customHeight="1">
      <c r="D575" s="111"/>
      <c r="E575" s="111"/>
      <c r="F575" s="108"/>
      <c r="G575" s="112"/>
      <c r="I575" s="110"/>
      <c r="K575" s="110"/>
    </row>
    <row r="576" ht="15.75" customHeight="1">
      <c r="D576" s="111"/>
      <c r="E576" s="111"/>
      <c r="F576" s="108"/>
      <c r="G576" s="112"/>
      <c r="I576" s="110"/>
      <c r="K576" s="110"/>
    </row>
    <row r="577" ht="15.75" customHeight="1">
      <c r="D577" s="111"/>
      <c r="E577" s="111"/>
      <c r="F577" s="108"/>
      <c r="G577" s="112"/>
      <c r="I577" s="110"/>
      <c r="K577" s="110"/>
    </row>
    <row r="578" ht="15.75" customHeight="1">
      <c r="D578" s="111"/>
      <c r="E578" s="111"/>
      <c r="F578" s="108"/>
      <c r="G578" s="112"/>
      <c r="I578" s="110"/>
      <c r="K578" s="110"/>
    </row>
    <row r="579" ht="15.75" customHeight="1">
      <c r="D579" s="111"/>
      <c r="E579" s="111"/>
      <c r="F579" s="108"/>
      <c r="G579" s="112"/>
      <c r="I579" s="110"/>
      <c r="K579" s="110"/>
    </row>
    <row r="580" ht="15.75" customHeight="1">
      <c r="D580" s="111"/>
      <c r="E580" s="111"/>
      <c r="F580" s="108"/>
      <c r="G580" s="112"/>
      <c r="I580" s="110"/>
      <c r="K580" s="110"/>
    </row>
    <row r="581" ht="15.75" customHeight="1">
      <c r="D581" s="111"/>
      <c r="E581" s="111"/>
      <c r="F581" s="108"/>
      <c r="G581" s="112"/>
      <c r="I581" s="110"/>
      <c r="K581" s="110"/>
    </row>
    <row r="582" ht="15.75" customHeight="1">
      <c r="D582" s="111"/>
      <c r="E582" s="111"/>
      <c r="F582" s="108"/>
      <c r="G582" s="112"/>
      <c r="I582" s="110"/>
      <c r="K582" s="110"/>
    </row>
    <row r="583" ht="15.75" customHeight="1">
      <c r="D583" s="111"/>
      <c r="E583" s="111"/>
      <c r="F583" s="108"/>
      <c r="G583" s="112"/>
      <c r="I583" s="110"/>
      <c r="K583" s="110"/>
    </row>
    <row r="584" ht="15.75" customHeight="1">
      <c r="D584" s="111"/>
      <c r="E584" s="111"/>
      <c r="F584" s="108"/>
      <c r="G584" s="112"/>
      <c r="I584" s="110"/>
      <c r="K584" s="110"/>
    </row>
    <row r="585" ht="15.75" customHeight="1">
      <c r="D585" s="111"/>
      <c r="E585" s="111"/>
      <c r="F585" s="108"/>
      <c r="G585" s="112"/>
      <c r="I585" s="110"/>
      <c r="K585" s="110"/>
    </row>
    <row r="586" ht="15.75" customHeight="1">
      <c r="D586" s="111"/>
      <c r="E586" s="111"/>
      <c r="F586" s="108"/>
      <c r="G586" s="112"/>
      <c r="I586" s="110"/>
      <c r="K586" s="110"/>
    </row>
    <row r="587" ht="15.75" customHeight="1">
      <c r="D587" s="111"/>
      <c r="E587" s="111"/>
      <c r="F587" s="108"/>
      <c r="G587" s="112"/>
      <c r="I587" s="110"/>
      <c r="K587" s="110"/>
    </row>
    <row r="588" ht="15.75" customHeight="1">
      <c r="D588" s="111"/>
      <c r="E588" s="111"/>
      <c r="F588" s="108"/>
      <c r="G588" s="112"/>
      <c r="I588" s="110"/>
      <c r="K588" s="110"/>
    </row>
    <row r="589" ht="15.75" customHeight="1">
      <c r="D589" s="111"/>
      <c r="E589" s="111"/>
      <c r="F589" s="108"/>
      <c r="G589" s="112"/>
      <c r="I589" s="110"/>
      <c r="K589" s="110"/>
    </row>
    <row r="590" ht="15.75" customHeight="1">
      <c r="D590" s="111"/>
      <c r="E590" s="111"/>
      <c r="F590" s="108"/>
      <c r="G590" s="112"/>
      <c r="I590" s="110"/>
      <c r="K590" s="110"/>
    </row>
    <row r="591" ht="15.75" customHeight="1">
      <c r="D591" s="111"/>
      <c r="E591" s="111"/>
      <c r="F591" s="108"/>
      <c r="G591" s="112"/>
      <c r="I591" s="110"/>
      <c r="K591" s="110"/>
    </row>
    <row r="592" ht="15.75" customHeight="1">
      <c r="D592" s="111"/>
      <c r="E592" s="111"/>
      <c r="F592" s="108"/>
      <c r="G592" s="112"/>
      <c r="I592" s="110"/>
      <c r="K592" s="110"/>
    </row>
    <row r="593" ht="15.75" customHeight="1">
      <c r="D593" s="111"/>
      <c r="E593" s="111"/>
      <c r="F593" s="108"/>
      <c r="G593" s="112"/>
      <c r="I593" s="110"/>
      <c r="K593" s="110"/>
    </row>
    <row r="594" ht="15.75" customHeight="1">
      <c r="D594" s="111"/>
      <c r="E594" s="111"/>
      <c r="F594" s="108"/>
      <c r="G594" s="112"/>
      <c r="I594" s="110"/>
      <c r="K594" s="110"/>
    </row>
    <row r="595" ht="15.75" customHeight="1">
      <c r="D595" s="111"/>
      <c r="E595" s="111"/>
      <c r="F595" s="108"/>
      <c r="G595" s="112"/>
      <c r="I595" s="110"/>
      <c r="K595" s="110"/>
    </row>
    <row r="596" ht="15.75" customHeight="1">
      <c r="D596" s="111"/>
      <c r="E596" s="111"/>
      <c r="F596" s="108"/>
      <c r="G596" s="112"/>
      <c r="I596" s="110"/>
      <c r="K596" s="110"/>
    </row>
    <row r="597" ht="15.75" customHeight="1">
      <c r="D597" s="111"/>
      <c r="E597" s="111"/>
      <c r="F597" s="108"/>
      <c r="G597" s="112"/>
      <c r="I597" s="110"/>
      <c r="K597" s="110"/>
    </row>
    <row r="598" ht="15.75" customHeight="1">
      <c r="D598" s="111"/>
      <c r="E598" s="111"/>
      <c r="F598" s="108"/>
      <c r="G598" s="112"/>
      <c r="I598" s="110"/>
      <c r="K598" s="110"/>
    </row>
    <row r="599" ht="15.75" customHeight="1">
      <c r="D599" s="111"/>
      <c r="E599" s="111"/>
      <c r="F599" s="108"/>
      <c r="G599" s="112"/>
      <c r="I599" s="110"/>
      <c r="K599" s="110"/>
    </row>
    <row r="600" ht="15.75" customHeight="1">
      <c r="D600" s="111"/>
      <c r="E600" s="111"/>
      <c r="F600" s="108"/>
      <c r="G600" s="112"/>
      <c r="I600" s="110"/>
      <c r="K600" s="110"/>
    </row>
    <row r="601" ht="15.75" customHeight="1">
      <c r="D601" s="111"/>
      <c r="E601" s="111"/>
      <c r="F601" s="108"/>
      <c r="G601" s="112"/>
      <c r="I601" s="110"/>
      <c r="K601" s="110"/>
    </row>
    <row r="602" ht="15.75" customHeight="1">
      <c r="D602" s="111"/>
      <c r="E602" s="111"/>
      <c r="F602" s="108"/>
      <c r="G602" s="112"/>
      <c r="I602" s="110"/>
      <c r="K602" s="110"/>
    </row>
    <row r="603" ht="15.75" customHeight="1">
      <c r="D603" s="111"/>
      <c r="E603" s="111"/>
      <c r="F603" s="108"/>
      <c r="G603" s="112"/>
      <c r="I603" s="110"/>
      <c r="K603" s="110"/>
    </row>
    <row r="604" ht="15.75" customHeight="1">
      <c r="D604" s="111"/>
      <c r="E604" s="111"/>
      <c r="F604" s="108"/>
      <c r="G604" s="112"/>
      <c r="I604" s="110"/>
      <c r="K604" s="110"/>
    </row>
    <row r="605" ht="15.75" customHeight="1">
      <c r="D605" s="111"/>
      <c r="E605" s="111"/>
      <c r="F605" s="108"/>
      <c r="G605" s="112"/>
      <c r="I605" s="110"/>
      <c r="K605" s="110"/>
    </row>
    <row r="606" ht="15.75" customHeight="1">
      <c r="D606" s="111"/>
      <c r="E606" s="111"/>
      <c r="F606" s="108"/>
      <c r="G606" s="112"/>
      <c r="I606" s="110"/>
      <c r="K606" s="110"/>
    </row>
    <row r="607" ht="15.75" customHeight="1">
      <c r="D607" s="111"/>
      <c r="E607" s="111"/>
      <c r="F607" s="108"/>
      <c r="G607" s="112"/>
      <c r="I607" s="110"/>
      <c r="K607" s="110"/>
    </row>
    <row r="608" ht="15.75" customHeight="1">
      <c r="D608" s="111"/>
      <c r="E608" s="111"/>
      <c r="F608" s="108"/>
      <c r="G608" s="112"/>
      <c r="I608" s="110"/>
      <c r="K608" s="110"/>
    </row>
    <row r="609" ht="15.75" customHeight="1">
      <c r="D609" s="111"/>
      <c r="E609" s="111"/>
      <c r="F609" s="108"/>
      <c r="G609" s="112"/>
      <c r="I609" s="110"/>
      <c r="K609" s="110"/>
    </row>
    <row r="610" ht="15.75" customHeight="1">
      <c r="D610" s="111"/>
      <c r="E610" s="111"/>
      <c r="F610" s="108"/>
      <c r="G610" s="112"/>
      <c r="I610" s="110"/>
      <c r="K610" s="110"/>
    </row>
    <row r="611" ht="15.75" customHeight="1">
      <c r="D611" s="111"/>
      <c r="E611" s="111"/>
      <c r="F611" s="108"/>
      <c r="G611" s="112"/>
      <c r="I611" s="110"/>
      <c r="K611" s="110"/>
    </row>
    <row r="612" ht="15.75" customHeight="1">
      <c r="D612" s="111"/>
      <c r="E612" s="111"/>
      <c r="F612" s="108"/>
      <c r="G612" s="112"/>
      <c r="I612" s="110"/>
      <c r="K612" s="110"/>
    </row>
    <row r="613" ht="15.75" customHeight="1">
      <c r="D613" s="111"/>
      <c r="E613" s="111"/>
      <c r="F613" s="108"/>
      <c r="G613" s="112"/>
      <c r="I613" s="110"/>
      <c r="K613" s="110"/>
    </row>
    <row r="614" ht="15.75" customHeight="1">
      <c r="D614" s="111"/>
      <c r="E614" s="111"/>
      <c r="F614" s="108"/>
      <c r="G614" s="112"/>
      <c r="I614" s="110"/>
      <c r="K614" s="110"/>
    </row>
    <row r="615" ht="15.75" customHeight="1">
      <c r="D615" s="111"/>
      <c r="E615" s="111"/>
      <c r="F615" s="108"/>
      <c r="G615" s="112"/>
      <c r="I615" s="110"/>
      <c r="K615" s="110"/>
    </row>
    <row r="616" ht="15.75" customHeight="1">
      <c r="D616" s="111"/>
      <c r="E616" s="111"/>
      <c r="F616" s="108"/>
      <c r="G616" s="112"/>
      <c r="I616" s="110"/>
      <c r="K616" s="110"/>
    </row>
    <row r="617" ht="15.75" customHeight="1">
      <c r="D617" s="111"/>
      <c r="E617" s="111"/>
      <c r="F617" s="108"/>
      <c r="G617" s="112"/>
      <c r="I617" s="110"/>
      <c r="K617" s="110"/>
    </row>
    <row r="618" ht="15.75" customHeight="1">
      <c r="D618" s="111"/>
      <c r="E618" s="111"/>
      <c r="F618" s="108"/>
      <c r="G618" s="112"/>
      <c r="I618" s="110"/>
      <c r="K618" s="110"/>
    </row>
    <row r="619" ht="15.75" customHeight="1">
      <c r="D619" s="111"/>
      <c r="E619" s="111"/>
      <c r="F619" s="108"/>
      <c r="G619" s="112"/>
      <c r="I619" s="110"/>
      <c r="K619" s="110"/>
    </row>
    <row r="620" ht="15.75" customHeight="1">
      <c r="D620" s="111"/>
      <c r="E620" s="111"/>
      <c r="F620" s="108"/>
      <c r="G620" s="112"/>
      <c r="I620" s="110"/>
      <c r="K620" s="110"/>
    </row>
    <row r="621" ht="15.75" customHeight="1">
      <c r="D621" s="111"/>
      <c r="E621" s="111"/>
      <c r="F621" s="108"/>
      <c r="G621" s="112"/>
      <c r="I621" s="110"/>
      <c r="K621" s="110"/>
    </row>
    <row r="622" ht="15.75" customHeight="1">
      <c r="D622" s="111"/>
      <c r="E622" s="111"/>
      <c r="F622" s="108"/>
      <c r="G622" s="112"/>
      <c r="I622" s="110"/>
      <c r="K622" s="110"/>
    </row>
    <row r="623" ht="15.75" customHeight="1">
      <c r="D623" s="111"/>
      <c r="E623" s="111"/>
      <c r="F623" s="108"/>
      <c r="G623" s="112"/>
      <c r="I623" s="110"/>
      <c r="K623" s="110"/>
    </row>
    <row r="624" ht="15.75" customHeight="1">
      <c r="D624" s="111"/>
      <c r="E624" s="111"/>
      <c r="F624" s="108"/>
      <c r="G624" s="112"/>
      <c r="I624" s="110"/>
      <c r="K624" s="110"/>
    </row>
    <row r="625" ht="15.75" customHeight="1">
      <c r="D625" s="111"/>
      <c r="E625" s="111"/>
      <c r="F625" s="108"/>
      <c r="G625" s="112"/>
      <c r="I625" s="110"/>
      <c r="K625" s="110"/>
    </row>
    <row r="626" ht="15.75" customHeight="1">
      <c r="D626" s="111"/>
      <c r="E626" s="111"/>
      <c r="F626" s="108"/>
      <c r="G626" s="112"/>
      <c r="I626" s="110"/>
      <c r="K626" s="110"/>
    </row>
    <row r="627" ht="15.75" customHeight="1">
      <c r="D627" s="111"/>
      <c r="E627" s="111"/>
      <c r="F627" s="108"/>
      <c r="G627" s="112"/>
      <c r="I627" s="110"/>
      <c r="K627" s="110"/>
    </row>
    <row r="628" ht="15.75" customHeight="1">
      <c r="D628" s="111"/>
      <c r="E628" s="111"/>
      <c r="F628" s="108"/>
      <c r="G628" s="112"/>
      <c r="I628" s="110"/>
      <c r="K628" s="110"/>
    </row>
    <row r="629" ht="15.75" customHeight="1">
      <c r="D629" s="111"/>
      <c r="E629" s="111"/>
      <c r="F629" s="108"/>
      <c r="G629" s="112"/>
      <c r="I629" s="110"/>
      <c r="K629" s="110"/>
    </row>
    <row r="630" ht="15.75" customHeight="1">
      <c r="D630" s="111"/>
      <c r="E630" s="111"/>
      <c r="F630" s="108"/>
      <c r="G630" s="112"/>
      <c r="I630" s="110"/>
      <c r="K630" s="110"/>
    </row>
    <row r="631" ht="15.75" customHeight="1">
      <c r="D631" s="111"/>
      <c r="E631" s="111"/>
      <c r="F631" s="108"/>
      <c r="G631" s="112"/>
      <c r="I631" s="110"/>
      <c r="K631" s="110"/>
    </row>
    <row r="632" ht="15.75" customHeight="1">
      <c r="D632" s="111"/>
      <c r="E632" s="111"/>
      <c r="F632" s="108"/>
      <c r="G632" s="112"/>
      <c r="I632" s="110"/>
      <c r="K632" s="110"/>
    </row>
    <row r="633" ht="15.75" customHeight="1">
      <c r="D633" s="111"/>
      <c r="E633" s="111"/>
      <c r="F633" s="108"/>
      <c r="G633" s="112"/>
      <c r="I633" s="110"/>
      <c r="K633" s="110"/>
    </row>
    <row r="634" ht="15.75" customHeight="1">
      <c r="D634" s="111"/>
      <c r="E634" s="111"/>
      <c r="F634" s="108"/>
      <c r="G634" s="112"/>
      <c r="I634" s="110"/>
      <c r="K634" s="110"/>
    </row>
    <row r="635" ht="15.75" customHeight="1">
      <c r="D635" s="111"/>
      <c r="E635" s="111"/>
      <c r="F635" s="108"/>
      <c r="G635" s="112"/>
      <c r="I635" s="110"/>
      <c r="K635" s="110"/>
    </row>
    <row r="636" ht="15.75" customHeight="1">
      <c r="D636" s="111"/>
      <c r="E636" s="111"/>
      <c r="F636" s="108"/>
      <c r="G636" s="112"/>
      <c r="I636" s="110"/>
      <c r="K636" s="110"/>
    </row>
    <row r="637" ht="15.75" customHeight="1">
      <c r="D637" s="111"/>
      <c r="E637" s="111"/>
      <c r="F637" s="108"/>
      <c r="G637" s="112"/>
      <c r="I637" s="110"/>
      <c r="K637" s="110"/>
    </row>
    <row r="638" ht="15.75" customHeight="1">
      <c r="D638" s="111"/>
      <c r="E638" s="111"/>
      <c r="F638" s="108"/>
      <c r="G638" s="112"/>
      <c r="I638" s="110"/>
      <c r="K638" s="110"/>
    </row>
    <row r="639" ht="15.75" customHeight="1">
      <c r="D639" s="111"/>
      <c r="E639" s="111"/>
      <c r="F639" s="108"/>
      <c r="G639" s="112"/>
      <c r="I639" s="110"/>
      <c r="K639" s="110"/>
    </row>
    <row r="640" ht="15.75" customHeight="1">
      <c r="D640" s="111"/>
      <c r="E640" s="111"/>
      <c r="F640" s="108"/>
      <c r="G640" s="112"/>
      <c r="I640" s="110"/>
      <c r="K640" s="110"/>
    </row>
    <row r="641" ht="15.75" customHeight="1">
      <c r="D641" s="111"/>
      <c r="E641" s="111"/>
      <c r="F641" s="108"/>
      <c r="G641" s="112"/>
      <c r="I641" s="110"/>
      <c r="K641" s="110"/>
    </row>
    <row r="642" ht="15.75" customHeight="1">
      <c r="D642" s="111"/>
      <c r="E642" s="111"/>
      <c r="F642" s="108"/>
      <c r="G642" s="112"/>
      <c r="I642" s="110"/>
      <c r="K642" s="110"/>
    </row>
    <row r="643" ht="15.75" customHeight="1">
      <c r="D643" s="111"/>
      <c r="E643" s="111"/>
      <c r="F643" s="108"/>
      <c r="G643" s="112"/>
      <c r="I643" s="110"/>
      <c r="K643" s="110"/>
    </row>
    <row r="644" ht="15.75" customHeight="1">
      <c r="D644" s="111"/>
      <c r="E644" s="111"/>
      <c r="F644" s="108"/>
      <c r="G644" s="112"/>
      <c r="I644" s="110"/>
      <c r="K644" s="110"/>
    </row>
    <row r="645" ht="15.75" customHeight="1">
      <c r="D645" s="111"/>
      <c r="E645" s="111"/>
      <c r="F645" s="108"/>
      <c r="G645" s="112"/>
      <c r="I645" s="110"/>
      <c r="K645" s="110"/>
    </row>
    <row r="646" ht="15.75" customHeight="1">
      <c r="D646" s="111"/>
      <c r="E646" s="111"/>
      <c r="F646" s="108"/>
      <c r="G646" s="112"/>
      <c r="I646" s="110"/>
      <c r="K646" s="110"/>
    </row>
    <row r="647" ht="15.75" customHeight="1">
      <c r="D647" s="111"/>
      <c r="E647" s="111"/>
      <c r="F647" s="108"/>
      <c r="G647" s="112"/>
      <c r="I647" s="110"/>
      <c r="K647" s="110"/>
    </row>
    <row r="648" ht="15.75" customHeight="1">
      <c r="D648" s="111"/>
      <c r="E648" s="111"/>
      <c r="F648" s="108"/>
      <c r="G648" s="112"/>
      <c r="I648" s="110"/>
      <c r="K648" s="110"/>
    </row>
    <row r="649" ht="15.75" customHeight="1">
      <c r="D649" s="111"/>
      <c r="E649" s="111"/>
      <c r="F649" s="108"/>
      <c r="G649" s="112"/>
      <c r="I649" s="110"/>
      <c r="K649" s="110"/>
    </row>
    <row r="650" ht="15.75" customHeight="1">
      <c r="D650" s="111"/>
      <c r="E650" s="111"/>
      <c r="F650" s="108"/>
      <c r="G650" s="112"/>
      <c r="I650" s="110"/>
      <c r="K650" s="110"/>
    </row>
    <row r="651" ht="15.75" customHeight="1">
      <c r="D651" s="111"/>
      <c r="E651" s="111"/>
      <c r="F651" s="108"/>
      <c r="G651" s="112"/>
      <c r="I651" s="110"/>
      <c r="K651" s="110"/>
    </row>
    <row r="652" ht="15.75" customHeight="1">
      <c r="D652" s="111"/>
      <c r="E652" s="111"/>
      <c r="F652" s="108"/>
      <c r="G652" s="112"/>
      <c r="I652" s="110"/>
      <c r="K652" s="110"/>
    </row>
    <row r="653" ht="15.75" customHeight="1">
      <c r="D653" s="111"/>
      <c r="E653" s="111"/>
      <c r="F653" s="108"/>
      <c r="G653" s="112"/>
      <c r="I653" s="110"/>
      <c r="K653" s="110"/>
    </row>
    <row r="654" ht="15.75" customHeight="1">
      <c r="D654" s="111"/>
      <c r="E654" s="111"/>
      <c r="F654" s="108"/>
      <c r="G654" s="112"/>
      <c r="I654" s="110"/>
      <c r="K654" s="110"/>
    </row>
    <row r="655" ht="15.75" customHeight="1">
      <c r="D655" s="111"/>
      <c r="E655" s="111"/>
      <c r="F655" s="108"/>
      <c r="G655" s="112"/>
      <c r="I655" s="110"/>
      <c r="K655" s="110"/>
    </row>
    <row r="656" ht="15.75" customHeight="1">
      <c r="D656" s="111"/>
      <c r="E656" s="111"/>
      <c r="F656" s="108"/>
      <c r="G656" s="112"/>
      <c r="I656" s="110"/>
      <c r="K656" s="110"/>
    </row>
    <row r="657" ht="15.75" customHeight="1">
      <c r="D657" s="111"/>
      <c r="E657" s="111"/>
      <c r="F657" s="108"/>
      <c r="G657" s="112"/>
      <c r="I657" s="110"/>
      <c r="K657" s="110"/>
    </row>
    <row r="658" ht="15.75" customHeight="1">
      <c r="D658" s="111"/>
      <c r="E658" s="111"/>
      <c r="F658" s="108"/>
      <c r="G658" s="112"/>
      <c r="I658" s="110"/>
      <c r="K658" s="110"/>
    </row>
    <row r="659" ht="15.75" customHeight="1">
      <c r="D659" s="111"/>
      <c r="E659" s="111"/>
      <c r="F659" s="108"/>
      <c r="G659" s="112"/>
      <c r="I659" s="110"/>
      <c r="K659" s="110"/>
    </row>
    <row r="660" ht="15.75" customHeight="1">
      <c r="D660" s="111"/>
      <c r="E660" s="111"/>
      <c r="F660" s="108"/>
      <c r="G660" s="112"/>
      <c r="I660" s="110"/>
      <c r="K660" s="110"/>
    </row>
    <row r="661" ht="15.75" customHeight="1">
      <c r="D661" s="111"/>
      <c r="E661" s="111"/>
      <c r="F661" s="108"/>
      <c r="G661" s="112"/>
      <c r="I661" s="110"/>
      <c r="K661" s="110"/>
    </row>
    <row r="662" ht="15.75" customHeight="1">
      <c r="D662" s="111"/>
      <c r="E662" s="111"/>
      <c r="F662" s="108"/>
      <c r="G662" s="112"/>
      <c r="I662" s="110"/>
      <c r="K662" s="110"/>
    </row>
    <row r="663" ht="15.75" customHeight="1">
      <c r="D663" s="111"/>
      <c r="E663" s="111"/>
      <c r="F663" s="108"/>
      <c r="G663" s="112"/>
      <c r="I663" s="110"/>
      <c r="K663" s="110"/>
    </row>
    <row r="664" ht="15.75" customHeight="1">
      <c r="D664" s="111"/>
      <c r="E664" s="111"/>
      <c r="F664" s="108"/>
      <c r="G664" s="112"/>
      <c r="I664" s="110"/>
      <c r="K664" s="110"/>
    </row>
    <row r="665" ht="15.75" customHeight="1">
      <c r="D665" s="111"/>
      <c r="E665" s="111"/>
      <c r="F665" s="108"/>
      <c r="G665" s="112"/>
      <c r="I665" s="110"/>
      <c r="K665" s="110"/>
    </row>
    <row r="666" ht="15.75" customHeight="1">
      <c r="D666" s="111"/>
      <c r="E666" s="111"/>
      <c r="F666" s="108"/>
      <c r="G666" s="112"/>
      <c r="I666" s="110"/>
      <c r="K666" s="110"/>
    </row>
    <row r="667" ht="15.75" customHeight="1">
      <c r="D667" s="111"/>
      <c r="E667" s="111"/>
      <c r="F667" s="108"/>
      <c r="G667" s="112"/>
      <c r="I667" s="110"/>
      <c r="K667" s="110"/>
    </row>
    <row r="668" ht="15.75" customHeight="1">
      <c r="D668" s="111"/>
      <c r="E668" s="111"/>
      <c r="F668" s="108"/>
      <c r="G668" s="112"/>
      <c r="I668" s="110"/>
      <c r="K668" s="110"/>
    </row>
    <row r="669" ht="15.75" customHeight="1">
      <c r="D669" s="111"/>
      <c r="E669" s="111"/>
      <c r="F669" s="108"/>
      <c r="G669" s="112"/>
      <c r="I669" s="110"/>
      <c r="K669" s="110"/>
    </row>
    <row r="670" ht="15.75" customHeight="1">
      <c r="D670" s="111"/>
      <c r="E670" s="111"/>
      <c r="F670" s="108"/>
      <c r="G670" s="112"/>
      <c r="I670" s="110"/>
      <c r="K670" s="110"/>
    </row>
    <row r="671" ht="15.75" customHeight="1">
      <c r="D671" s="111"/>
      <c r="E671" s="111"/>
      <c r="F671" s="108"/>
      <c r="G671" s="112"/>
      <c r="I671" s="110"/>
      <c r="K671" s="110"/>
    </row>
    <row r="672" ht="15.75" customHeight="1">
      <c r="D672" s="111"/>
      <c r="E672" s="111"/>
      <c r="F672" s="108"/>
      <c r="G672" s="112"/>
      <c r="I672" s="110"/>
      <c r="K672" s="110"/>
    </row>
    <row r="673" ht="15.75" customHeight="1">
      <c r="D673" s="111"/>
      <c r="E673" s="111"/>
      <c r="F673" s="108"/>
      <c r="G673" s="112"/>
      <c r="I673" s="110"/>
      <c r="K673" s="110"/>
    </row>
    <row r="674" ht="15.75" customHeight="1">
      <c r="D674" s="111"/>
      <c r="E674" s="111"/>
      <c r="F674" s="108"/>
      <c r="G674" s="112"/>
      <c r="I674" s="110"/>
      <c r="K674" s="110"/>
    </row>
    <row r="675" ht="15.75" customHeight="1">
      <c r="D675" s="111"/>
      <c r="E675" s="111"/>
      <c r="F675" s="108"/>
      <c r="G675" s="112"/>
      <c r="I675" s="110"/>
      <c r="K675" s="110"/>
    </row>
    <row r="676" ht="15.75" customHeight="1">
      <c r="D676" s="111"/>
      <c r="E676" s="111"/>
      <c r="F676" s="108"/>
      <c r="G676" s="112"/>
      <c r="I676" s="110"/>
      <c r="K676" s="110"/>
    </row>
    <row r="677" ht="15.75" customHeight="1">
      <c r="D677" s="111"/>
      <c r="E677" s="111"/>
      <c r="F677" s="108"/>
      <c r="G677" s="112"/>
      <c r="I677" s="110"/>
      <c r="K677" s="110"/>
    </row>
    <row r="678" ht="15.75" customHeight="1">
      <c r="D678" s="111"/>
      <c r="E678" s="111"/>
      <c r="F678" s="108"/>
      <c r="G678" s="112"/>
      <c r="I678" s="110"/>
      <c r="K678" s="110"/>
    </row>
    <row r="679" ht="15.75" customHeight="1">
      <c r="D679" s="111"/>
      <c r="E679" s="111"/>
      <c r="F679" s="108"/>
      <c r="G679" s="112"/>
      <c r="I679" s="110"/>
      <c r="K679" s="110"/>
    </row>
    <row r="680" ht="15.75" customHeight="1">
      <c r="D680" s="111"/>
      <c r="E680" s="111"/>
      <c r="F680" s="108"/>
      <c r="G680" s="112"/>
      <c r="I680" s="110"/>
      <c r="K680" s="110"/>
    </row>
    <row r="681" ht="15.75" customHeight="1">
      <c r="D681" s="111"/>
      <c r="E681" s="111"/>
      <c r="F681" s="108"/>
      <c r="G681" s="112"/>
      <c r="I681" s="110"/>
      <c r="K681" s="110"/>
    </row>
    <row r="682" ht="15.75" customHeight="1">
      <c r="D682" s="111"/>
      <c r="E682" s="111"/>
      <c r="F682" s="108"/>
      <c r="G682" s="112"/>
      <c r="I682" s="110"/>
      <c r="K682" s="110"/>
    </row>
    <row r="683" ht="15.75" customHeight="1">
      <c r="D683" s="111"/>
      <c r="E683" s="111"/>
      <c r="F683" s="108"/>
      <c r="G683" s="112"/>
      <c r="I683" s="110"/>
      <c r="K683" s="110"/>
    </row>
    <row r="684" ht="15.75" customHeight="1">
      <c r="D684" s="111"/>
      <c r="E684" s="111"/>
      <c r="F684" s="108"/>
      <c r="G684" s="112"/>
      <c r="I684" s="110"/>
      <c r="K684" s="110"/>
    </row>
    <row r="685" ht="15.75" customHeight="1">
      <c r="D685" s="111"/>
      <c r="E685" s="111"/>
      <c r="F685" s="108"/>
      <c r="G685" s="112"/>
      <c r="I685" s="110"/>
      <c r="K685" s="110"/>
    </row>
    <row r="686" ht="15.75" customHeight="1">
      <c r="D686" s="111"/>
      <c r="E686" s="111"/>
      <c r="F686" s="108"/>
      <c r="G686" s="112"/>
      <c r="I686" s="110"/>
      <c r="K686" s="110"/>
    </row>
    <row r="687" ht="15.75" customHeight="1">
      <c r="D687" s="111"/>
      <c r="E687" s="111"/>
      <c r="F687" s="108"/>
      <c r="G687" s="112"/>
      <c r="I687" s="110"/>
      <c r="K687" s="110"/>
    </row>
    <row r="688" ht="15.75" customHeight="1">
      <c r="D688" s="111"/>
      <c r="E688" s="111"/>
      <c r="F688" s="108"/>
      <c r="G688" s="112"/>
      <c r="I688" s="110"/>
      <c r="K688" s="110"/>
    </row>
    <row r="689" ht="15.75" customHeight="1">
      <c r="D689" s="111"/>
      <c r="E689" s="111"/>
      <c r="F689" s="108"/>
      <c r="G689" s="112"/>
      <c r="I689" s="110"/>
      <c r="K689" s="110"/>
    </row>
    <row r="690" ht="15.75" customHeight="1">
      <c r="D690" s="111"/>
      <c r="E690" s="111"/>
      <c r="F690" s="108"/>
      <c r="G690" s="112"/>
      <c r="I690" s="110"/>
      <c r="K690" s="110"/>
    </row>
    <row r="691" ht="15.75" customHeight="1">
      <c r="D691" s="111"/>
      <c r="E691" s="111"/>
      <c r="F691" s="108"/>
      <c r="G691" s="112"/>
      <c r="I691" s="110"/>
      <c r="K691" s="110"/>
    </row>
    <row r="692" ht="15.75" customHeight="1">
      <c r="D692" s="111"/>
      <c r="E692" s="111"/>
      <c r="F692" s="108"/>
      <c r="G692" s="112"/>
      <c r="I692" s="110"/>
      <c r="K692" s="110"/>
    </row>
    <row r="693" ht="15.75" customHeight="1">
      <c r="D693" s="111"/>
      <c r="E693" s="111"/>
      <c r="F693" s="108"/>
      <c r="G693" s="112"/>
      <c r="I693" s="110"/>
      <c r="K693" s="110"/>
    </row>
    <row r="694" ht="15.75" customHeight="1">
      <c r="D694" s="111"/>
      <c r="E694" s="111"/>
      <c r="F694" s="108"/>
      <c r="G694" s="112"/>
      <c r="I694" s="110"/>
      <c r="K694" s="110"/>
    </row>
    <row r="695" ht="15.75" customHeight="1">
      <c r="D695" s="111"/>
      <c r="E695" s="111"/>
      <c r="F695" s="108"/>
      <c r="G695" s="112"/>
      <c r="I695" s="110"/>
      <c r="K695" s="110"/>
    </row>
    <row r="696" ht="15.75" customHeight="1">
      <c r="D696" s="111"/>
      <c r="E696" s="111"/>
      <c r="F696" s="108"/>
      <c r="G696" s="112"/>
      <c r="I696" s="110"/>
      <c r="K696" s="110"/>
    </row>
    <row r="697" ht="15.75" customHeight="1">
      <c r="D697" s="111"/>
      <c r="E697" s="111"/>
      <c r="F697" s="108"/>
      <c r="G697" s="112"/>
      <c r="I697" s="110"/>
      <c r="K697" s="110"/>
    </row>
    <row r="698" ht="15.75" customHeight="1">
      <c r="D698" s="111"/>
      <c r="E698" s="111"/>
      <c r="F698" s="108"/>
      <c r="G698" s="112"/>
      <c r="I698" s="110"/>
      <c r="K698" s="110"/>
    </row>
    <row r="699" ht="15.75" customHeight="1">
      <c r="D699" s="111"/>
      <c r="E699" s="111"/>
      <c r="F699" s="108"/>
      <c r="G699" s="112"/>
      <c r="I699" s="110"/>
      <c r="K699" s="110"/>
    </row>
    <row r="700" ht="15.75" customHeight="1">
      <c r="D700" s="111"/>
      <c r="E700" s="111"/>
      <c r="F700" s="108"/>
      <c r="G700" s="112"/>
      <c r="I700" s="110"/>
      <c r="K700" s="110"/>
    </row>
    <row r="701" ht="15.75" customHeight="1">
      <c r="D701" s="111"/>
      <c r="E701" s="111"/>
      <c r="F701" s="108"/>
      <c r="G701" s="112"/>
      <c r="I701" s="110"/>
      <c r="K701" s="110"/>
    </row>
    <row r="702" ht="15.75" customHeight="1">
      <c r="D702" s="111"/>
      <c r="E702" s="111"/>
      <c r="F702" s="108"/>
      <c r="G702" s="112"/>
      <c r="I702" s="110"/>
      <c r="K702" s="110"/>
    </row>
    <row r="703" ht="15.75" customHeight="1">
      <c r="D703" s="111"/>
      <c r="E703" s="111"/>
      <c r="F703" s="108"/>
      <c r="G703" s="112"/>
      <c r="I703" s="110"/>
      <c r="K703" s="110"/>
    </row>
    <row r="704" ht="15.75" customHeight="1">
      <c r="D704" s="111"/>
      <c r="E704" s="111"/>
      <c r="F704" s="108"/>
      <c r="G704" s="112"/>
      <c r="I704" s="110"/>
      <c r="K704" s="110"/>
    </row>
    <row r="705" ht="15.75" customHeight="1">
      <c r="D705" s="111"/>
      <c r="E705" s="111"/>
      <c r="F705" s="108"/>
      <c r="G705" s="112"/>
      <c r="I705" s="110"/>
      <c r="K705" s="110"/>
    </row>
    <row r="706" ht="15.75" customHeight="1">
      <c r="D706" s="111"/>
      <c r="E706" s="111"/>
      <c r="F706" s="108"/>
      <c r="G706" s="112"/>
      <c r="I706" s="110"/>
      <c r="K706" s="110"/>
    </row>
    <row r="707" ht="15.75" customHeight="1">
      <c r="D707" s="111"/>
      <c r="E707" s="111"/>
      <c r="F707" s="108"/>
      <c r="G707" s="112"/>
      <c r="I707" s="110"/>
      <c r="K707" s="110"/>
    </row>
    <row r="708" ht="15.75" customHeight="1">
      <c r="D708" s="111"/>
      <c r="E708" s="111"/>
      <c r="F708" s="108"/>
      <c r="G708" s="112"/>
      <c r="I708" s="110"/>
      <c r="K708" s="110"/>
    </row>
    <row r="709" ht="15.75" customHeight="1">
      <c r="D709" s="111"/>
      <c r="E709" s="111"/>
      <c r="F709" s="108"/>
      <c r="G709" s="112"/>
      <c r="I709" s="110"/>
      <c r="K709" s="110"/>
    </row>
    <row r="710" ht="15.75" customHeight="1">
      <c r="D710" s="111"/>
      <c r="E710" s="111"/>
      <c r="F710" s="108"/>
      <c r="G710" s="112"/>
      <c r="I710" s="110"/>
      <c r="K710" s="110"/>
    </row>
    <row r="711" ht="15.75" customHeight="1">
      <c r="D711" s="111"/>
      <c r="E711" s="111"/>
      <c r="F711" s="108"/>
      <c r="G711" s="112"/>
      <c r="I711" s="110"/>
      <c r="K711" s="110"/>
    </row>
    <row r="712" ht="15.75" customHeight="1">
      <c r="D712" s="111"/>
      <c r="E712" s="111"/>
      <c r="F712" s="108"/>
      <c r="G712" s="112"/>
      <c r="I712" s="110"/>
      <c r="K712" s="110"/>
    </row>
    <row r="713" ht="15.75" customHeight="1">
      <c r="D713" s="111"/>
      <c r="E713" s="111"/>
      <c r="F713" s="108"/>
      <c r="G713" s="112"/>
      <c r="I713" s="110"/>
      <c r="K713" s="110"/>
    </row>
    <row r="714" ht="15.75" customHeight="1">
      <c r="D714" s="111"/>
      <c r="E714" s="111"/>
      <c r="F714" s="108"/>
      <c r="G714" s="112"/>
      <c r="I714" s="110"/>
      <c r="K714" s="110"/>
    </row>
    <row r="715" ht="15.75" customHeight="1">
      <c r="D715" s="111"/>
      <c r="E715" s="111"/>
      <c r="F715" s="108"/>
      <c r="G715" s="112"/>
      <c r="I715" s="110"/>
      <c r="K715" s="110"/>
    </row>
    <row r="716" ht="15.75" customHeight="1">
      <c r="D716" s="111"/>
      <c r="E716" s="111"/>
      <c r="F716" s="108"/>
      <c r="G716" s="112"/>
      <c r="I716" s="110"/>
      <c r="K716" s="110"/>
    </row>
    <row r="717" ht="15.75" customHeight="1">
      <c r="D717" s="111"/>
      <c r="E717" s="111"/>
      <c r="F717" s="108"/>
      <c r="G717" s="112"/>
      <c r="I717" s="110"/>
      <c r="K717" s="110"/>
    </row>
    <row r="718" ht="15.75" customHeight="1">
      <c r="D718" s="111"/>
      <c r="E718" s="111"/>
      <c r="F718" s="108"/>
      <c r="G718" s="112"/>
      <c r="I718" s="110"/>
      <c r="K718" s="110"/>
    </row>
    <row r="719" ht="15.75" customHeight="1">
      <c r="D719" s="111"/>
      <c r="E719" s="111"/>
      <c r="F719" s="108"/>
      <c r="G719" s="112"/>
      <c r="I719" s="110"/>
      <c r="K719" s="110"/>
    </row>
    <row r="720" ht="15.75" customHeight="1">
      <c r="D720" s="111"/>
      <c r="E720" s="111"/>
      <c r="F720" s="108"/>
      <c r="G720" s="112"/>
      <c r="I720" s="110"/>
      <c r="K720" s="110"/>
    </row>
    <row r="721" ht="15.75" customHeight="1">
      <c r="D721" s="111"/>
      <c r="E721" s="111"/>
      <c r="F721" s="108"/>
      <c r="G721" s="112"/>
      <c r="I721" s="110"/>
      <c r="K721" s="110"/>
    </row>
    <row r="722" ht="15.75" customHeight="1">
      <c r="D722" s="111"/>
      <c r="E722" s="111"/>
      <c r="F722" s="108"/>
      <c r="G722" s="112"/>
      <c r="I722" s="110"/>
      <c r="K722" s="110"/>
    </row>
    <row r="723" ht="15.75" customHeight="1">
      <c r="D723" s="111"/>
      <c r="E723" s="111"/>
      <c r="F723" s="108"/>
      <c r="G723" s="112"/>
      <c r="I723" s="110"/>
      <c r="K723" s="110"/>
    </row>
    <row r="724" ht="15.75" customHeight="1">
      <c r="D724" s="111"/>
      <c r="E724" s="111"/>
      <c r="F724" s="108"/>
      <c r="G724" s="112"/>
      <c r="I724" s="110"/>
      <c r="K724" s="110"/>
    </row>
    <row r="725" ht="15.75" customHeight="1">
      <c r="D725" s="111"/>
      <c r="E725" s="111"/>
      <c r="F725" s="108"/>
      <c r="G725" s="112"/>
      <c r="I725" s="110"/>
      <c r="K725" s="110"/>
    </row>
    <row r="726" ht="15.75" customHeight="1">
      <c r="D726" s="111"/>
      <c r="E726" s="111"/>
      <c r="F726" s="108"/>
      <c r="G726" s="112"/>
      <c r="I726" s="110"/>
      <c r="K726" s="110"/>
    </row>
    <row r="727" ht="15.75" customHeight="1">
      <c r="D727" s="111"/>
      <c r="E727" s="111"/>
      <c r="F727" s="108"/>
      <c r="G727" s="112"/>
      <c r="I727" s="110"/>
      <c r="K727" s="110"/>
    </row>
    <row r="728" ht="15.75" customHeight="1">
      <c r="D728" s="111"/>
      <c r="E728" s="111"/>
      <c r="F728" s="108"/>
      <c r="G728" s="112"/>
      <c r="I728" s="110"/>
      <c r="K728" s="110"/>
    </row>
    <row r="729" ht="15.75" customHeight="1">
      <c r="D729" s="111"/>
      <c r="E729" s="111"/>
      <c r="F729" s="108"/>
      <c r="G729" s="112"/>
      <c r="I729" s="110"/>
      <c r="K729" s="110"/>
    </row>
    <row r="730" ht="15.75" customHeight="1">
      <c r="D730" s="111"/>
      <c r="E730" s="111"/>
      <c r="F730" s="108"/>
      <c r="G730" s="112"/>
      <c r="I730" s="110"/>
      <c r="K730" s="110"/>
    </row>
    <row r="731" ht="15.75" customHeight="1">
      <c r="D731" s="111"/>
      <c r="E731" s="111"/>
      <c r="F731" s="108"/>
      <c r="G731" s="112"/>
      <c r="I731" s="110"/>
      <c r="K731" s="110"/>
    </row>
    <row r="732" ht="15.75" customHeight="1">
      <c r="D732" s="111"/>
      <c r="E732" s="111"/>
      <c r="F732" s="108"/>
      <c r="G732" s="112"/>
      <c r="I732" s="110"/>
      <c r="K732" s="110"/>
    </row>
    <row r="733" ht="15.75" customHeight="1">
      <c r="D733" s="111"/>
      <c r="E733" s="111"/>
      <c r="F733" s="108"/>
      <c r="G733" s="112"/>
      <c r="I733" s="110"/>
      <c r="K733" s="110"/>
    </row>
    <row r="734" ht="15.75" customHeight="1">
      <c r="D734" s="111"/>
      <c r="E734" s="111"/>
      <c r="F734" s="108"/>
      <c r="G734" s="112"/>
      <c r="I734" s="110"/>
      <c r="K734" s="110"/>
    </row>
    <row r="735" ht="15.75" customHeight="1">
      <c r="D735" s="111"/>
      <c r="E735" s="111"/>
      <c r="F735" s="108"/>
      <c r="G735" s="112"/>
      <c r="I735" s="110"/>
      <c r="K735" s="110"/>
    </row>
    <row r="736" ht="15.75" customHeight="1">
      <c r="D736" s="111"/>
      <c r="E736" s="111"/>
      <c r="F736" s="108"/>
      <c r="G736" s="112"/>
      <c r="I736" s="110"/>
      <c r="K736" s="110"/>
    </row>
    <row r="737" ht="15.75" customHeight="1">
      <c r="D737" s="111"/>
      <c r="E737" s="111"/>
      <c r="F737" s="108"/>
      <c r="G737" s="112"/>
      <c r="I737" s="110"/>
      <c r="K737" s="110"/>
    </row>
    <row r="738" ht="15.75" customHeight="1">
      <c r="D738" s="111"/>
      <c r="E738" s="111"/>
      <c r="F738" s="108"/>
      <c r="G738" s="112"/>
      <c r="I738" s="110"/>
      <c r="K738" s="110"/>
    </row>
    <row r="739" ht="15.75" customHeight="1">
      <c r="D739" s="111"/>
      <c r="E739" s="111"/>
      <c r="F739" s="108"/>
      <c r="G739" s="112"/>
      <c r="I739" s="110"/>
      <c r="K739" s="110"/>
    </row>
    <row r="740" ht="15.75" customHeight="1">
      <c r="D740" s="111"/>
      <c r="E740" s="111"/>
      <c r="F740" s="108"/>
      <c r="G740" s="112"/>
      <c r="I740" s="110"/>
      <c r="K740" s="110"/>
    </row>
    <row r="741" ht="15.75" customHeight="1">
      <c r="D741" s="111"/>
      <c r="E741" s="111"/>
      <c r="F741" s="108"/>
      <c r="G741" s="112"/>
      <c r="I741" s="110"/>
      <c r="K741" s="110"/>
    </row>
    <row r="742" ht="15.75" customHeight="1">
      <c r="D742" s="111"/>
      <c r="E742" s="111"/>
      <c r="F742" s="108"/>
      <c r="G742" s="112"/>
      <c r="I742" s="110"/>
      <c r="K742" s="110"/>
    </row>
    <row r="743" ht="15.75" customHeight="1">
      <c r="D743" s="111"/>
      <c r="E743" s="111"/>
      <c r="F743" s="108"/>
      <c r="G743" s="112"/>
      <c r="I743" s="110"/>
      <c r="K743" s="110"/>
    </row>
    <row r="744" ht="15.75" customHeight="1">
      <c r="D744" s="111"/>
      <c r="E744" s="111"/>
      <c r="F744" s="108"/>
      <c r="G744" s="112"/>
      <c r="I744" s="110"/>
      <c r="K744" s="110"/>
    </row>
    <row r="745" ht="15.75" customHeight="1">
      <c r="D745" s="111"/>
      <c r="E745" s="111"/>
      <c r="F745" s="108"/>
      <c r="G745" s="112"/>
      <c r="I745" s="110"/>
      <c r="K745" s="110"/>
    </row>
    <row r="746" ht="15.75" customHeight="1">
      <c r="D746" s="111"/>
      <c r="E746" s="111"/>
      <c r="F746" s="108"/>
      <c r="G746" s="112"/>
      <c r="I746" s="110"/>
      <c r="K746" s="110"/>
    </row>
    <row r="747" ht="15.75" customHeight="1">
      <c r="D747" s="111"/>
      <c r="E747" s="111"/>
      <c r="F747" s="108"/>
      <c r="G747" s="112"/>
      <c r="I747" s="110"/>
      <c r="K747" s="110"/>
    </row>
    <row r="748" ht="15.75" customHeight="1">
      <c r="D748" s="111"/>
      <c r="E748" s="111"/>
      <c r="F748" s="108"/>
      <c r="G748" s="112"/>
      <c r="I748" s="110"/>
      <c r="K748" s="110"/>
    </row>
    <row r="749" ht="15.75" customHeight="1">
      <c r="D749" s="111"/>
      <c r="E749" s="111"/>
      <c r="F749" s="108"/>
      <c r="G749" s="112"/>
      <c r="I749" s="110"/>
      <c r="K749" s="110"/>
    </row>
    <row r="750" ht="15.75" customHeight="1">
      <c r="D750" s="111"/>
      <c r="E750" s="111"/>
      <c r="F750" s="108"/>
      <c r="G750" s="112"/>
      <c r="I750" s="110"/>
      <c r="K750" s="110"/>
    </row>
    <row r="751" ht="15.75" customHeight="1">
      <c r="D751" s="111"/>
      <c r="E751" s="111"/>
      <c r="F751" s="108"/>
      <c r="G751" s="112"/>
      <c r="I751" s="110"/>
      <c r="K751" s="110"/>
    </row>
    <row r="752" ht="15.75" customHeight="1">
      <c r="D752" s="111"/>
      <c r="E752" s="111"/>
      <c r="F752" s="108"/>
      <c r="G752" s="112"/>
      <c r="I752" s="110"/>
      <c r="K752" s="110"/>
    </row>
    <row r="753" ht="15.75" customHeight="1">
      <c r="D753" s="111"/>
      <c r="E753" s="111"/>
      <c r="F753" s="108"/>
      <c r="G753" s="112"/>
      <c r="I753" s="110"/>
      <c r="K753" s="110"/>
    </row>
    <row r="754" ht="15.75" customHeight="1">
      <c r="D754" s="111"/>
      <c r="E754" s="111"/>
      <c r="F754" s="108"/>
      <c r="G754" s="112"/>
      <c r="I754" s="110"/>
      <c r="K754" s="110"/>
    </row>
    <row r="755" ht="15.75" customHeight="1">
      <c r="D755" s="111"/>
      <c r="E755" s="111"/>
      <c r="F755" s="108"/>
      <c r="G755" s="112"/>
      <c r="I755" s="110"/>
      <c r="K755" s="110"/>
    </row>
    <row r="756" ht="15.75" customHeight="1">
      <c r="D756" s="111"/>
      <c r="E756" s="111"/>
      <c r="F756" s="108"/>
      <c r="G756" s="112"/>
      <c r="I756" s="110"/>
      <c r="K756" s="110"/>
    </row>
    <row r="757" ht="15.75" customHeight="1">
      <c r="D757" s="111"/>
      <c r="E757" s="111"/>
      <c r="F757" s="108"/>
      <c r="G757" s="112"/>
      <c r="I757" s="110"/>
      <c r="K757" s="110"/>
    </row>
    <row r="758" ht="15.75" customHeight="1">
      <c r="D758" s="111"/>
      <c r="E758" s="111"/>
      <c r="F758" s="108"/>
      <c r="G758" s="112"/>
      <c r="I758" s="110"/>
      <c r="K758" s="110"/>
    </row>
    <row r="759" ht="15.75" customHeight="1">
      <c r="D759" s="111"/>
      <c r="E759" s="111"/>
      <c r="F759" s="108"/>
      <c r="G759" s="112"/>
      <c r="I759" s="110"/>
      <c r="K759" s="110"/>
    </row>
    <row r="760" ht="15.75" customHeight="1">
      <c r="D760" s="111"/>
      <c r="E760" s="111"/>
      <c r="F760" s="108"/>
      <c r="G760" s="112"/>
      <c r="I760" s="110"/>
      <c r="K760" s="110"/>
    </row>
    <row r="761" ht="15.75" customHeight="1">
      <c r="D761" s="111"/>
      <c r="E761" s="111"/>
      <c r="F761" s="108"/>
      <c r="G761" s="112"/>
      <c r="I761" s="110"/>
      <c r="K761" s="110"/>
    </row>
    <row r="762" ht="15.75" customHeight="1">
      <c r="D762" s="111"/>
      <c r="E762" s="111"/>
      <c r="F762" s="108"/>
      <c r="G762" s="112"/>
      <c r="I762" s="110"/>
      <c r="K762" s="110"/>
    </row>
    <row r="763" ht="15.75" customHeight="1">
      <c r="D763" s="111"/>
      <c r="E763" s="111"/>
      <c r="F763" s="108"/>
      <c r="G763" s="112"/>
      <c r="I763" s="110"/>
      <c r="K763" s="110"/>
    </row>
    <row r="764" ht="15.75" customHeight="1">
      <c r="D764" s="111"/>
      <c r="E764" s="111"/>
      <c r="F764" s="108"/>
      <c r="G764" s="112"/>
      <c r="I764" s="110"/>
      <c r="K764" s="110"/>
    </row>
    <row r="765" ht="15.75" customHeight="1">
      <c r="D765" s="111"/>
      <c r="E765" s="111"/>
      <c r="F765" s="108"/>
      <c r="G765" s="112"/>
      <c r="I765" s="110"/>
      <c r="K765" s="110"/>
    </row>
    <row r="766" ht="15.75" customHeight="1">
      <c r="D766" s="111"/>
      <c r="E766" s="111"/>
      <c r="F766" s="108"/>
      <c r="G766" s="112"/>
      <c r="I766" s="110"/>
      <c r="K766" s="110"/>
    </row>
    <row r="767" ht="15.75" customHeight="1">
      <c r="D767" s="111"/>
      <c r="E767" s="111"/>
      <c r="F767" s="108"/>
      <c r="G767" s="112"/>
      <c r="I767" s="110"/>
      <c r="K767" s="110"/>
    </row>
    <row r="768" ht="15.75" customHeight="1">
      <c r="D768" s="111"/>
      <c r="E768" s="111"/>
      <c r="F768" s="108"/>
      <c r="G768" s="112"/>
      <c r="I768" s="110"/>
      <c r="K768" s="110"/>
    </row>
    <row r="769" ht="15.75" customHeight="1">
      <c r="D769" s="111"/>
      <c r="E769" s="111"/>
      <c r="F769" s="108"/>
      <c r="G769" s="112"/>
      <c r="I769" s="110"/>
      <c r="K769" s="110"/>
    </row>
    <row r="770" ht="15.75" customHeight="1">
      <c r="D770" s="111"/>
      <c r="E770" s="111"/>
      <c r="F770" s="108"/>
      <c r="G770" s="112"/>
      <c r="I770" s="110"/>
      <c r="K770" s="110"/>
    </row>
    <row r="771" ht="15.75" customHeight="1">
      <c r="D771" s="111"/>
      <c r="E771" s="111"/>
      <c r="F771" s="108"/>
      <c r="G771" s="112"/>
      <c r="I771" s="110"/>
      <c r="K771" s="110"/>
    </row>
    <row r="772" ht="15.75" customHeight="1">
      <c r="D772" s="111"/>
      <c r="E772" s="111"/>
      <c r="F772" s="108"/>
      <c r="G772" s="112"/>
      <c r="I772" s="110"/>
      <c r="K772" s="110"/>
    </row>
    <row r="773" ht="15.75" customHeight="1">
      <c r="D773" s="111"/>
      <c r="E773" s="111"/>
      <c r="F773" s="108"/>
      <c r="G773" s="112"/>
      <c r="I773" s="110"/>
      <c r="K773" s="110"/>
    </row>
    <row r="774" ht="15.75" customHeight="1">
      <c r="D774" s="111"/>
      <c r="E774" s="111"/>
      <c r="F774" s="108"/>
      <c r="G774" s="112"/>
      <c r="I774" s="110"/>
      <c r="K774" s="110"/>
    </row>
    <row r="775" ht="15.75" customHeight="1">
      <c r="D775" s="111"/>
      <c r="E775" s="111"/>
      <c r="F775" s="108"/>
      <c r="G775" s="112"/>
      <c r="I775" s="110"/>
      <c r="K775" s="110"/>
    </row>
    <row r="776" ht="15.75" customHeight="1">
      <c r="D776" s="111"/>
      <c r="E776" s="111"/>
      <c r="F776" s="108"/>
      <c r="G776" s="112"/>
      <c r="I776" s="110"/>
      <c r="K776" s="110"/>
    </row>
    <row r="777" ht="15.75" customHeight="1">
      <c r="D777" s="111"/>
      <c r="E777" s="111"/>
      <c r="F777" s="108"/>
      <c r="G777" s="112"/>
      <c r="I777" s="110"/>
      <c r="K777" s="110"/>
    </row>
    <row r="778" ht="15.75" customHeight="1">
      <c r="D778" s="111"/>
      <c r="E778" s="111"/>
      <c r="F778" s="108"/>
      <c r="G778" s="112"/>
      <c r="I778" s="110"/>
      <c r="K778" s="110"/>
    </row>
    <row r="779" ht="15.75" customHeight="1">
      <c r="D779" s="111"/>
      <c r="E779" s="111"/>
      <c r="F779" s="108"/>
      <c r="G779" s="112"/>
      <c r="I779" s="110"/>
      <c r="K779" s="110"/>
    </row>
    <row r="780" ht="15.75" customHeight="1">
      <c r="D780" s="111"/>
      <c r="E780" s="111"/>
      <c r="F780" s="108"/>
      <c r="G780" s="112"/>
      <c r="I780" s="110"/>
      <c r="K780" s="110"/>
    </row>
    <row r="781" ht="15.75" customHeight="1">
      <c r="D781" s="111"/>
      <c r="E781" s="111"/>
      <c r="F781" s="108"/>
      <c r="G781" s="112"/>
      <c r="I781" s="110"/>
      <c r="K781" s="110"/>
    </row>
    <row r="782" ht="15.75" customHeight="1">
      <c r="D782" s="111"/>
      <c r="E782" s="111"/>
      <c r="F782" s="108"/>
      <c r="G782" s="112"/>
      <c r="I782" s="110"/>
      <c r="K782" s="110"/>
    </row>
    <row r="783" ht="15.75" customHeight="1">
      <c r="D783" s="111"/>
      <c r="E783" s="111"/>
      <c r="F783" s="108"/>
      <c r="G783" s="112"/>
      <c r="I783" s="110"/>
      <c r="K783" s="110"/>
    </row>
    <row r="784" ht="15.75" customHeight="1">
      <c r="D784" s="111"/>
      <c r="E784" s="111"/>
      <c r="F784" s="108"/>
      <c r="G784" s="112"/>
      <c r="I784" s="110"/>
      <c r="K784" s="110"/>
    </row>
    <row r="785" ht="15.75" customHeight="1">
      <c r="D785" s="111"/>
      <c r="E785" s="111"/>
      <c r="F785" s="108"/>
      <c r="G785" s="112"/>
      <c r="I785" s="110"/>
      <c r="K785" s="110"/>
    </row>
    <row r="786" ht="15.75" customHeight="1">
      <c r="D786" s="111"/>
      <c r="E786" s="111"/>
      <c r="F786" s="108"/>
      <c r="G786" s="112"/>
      <c r="I786" s="110"/>
      <c r="K786" s="110"/>
    </row>
    <row r="787" ht="15.75" customHeight="1">
      <c r="D787" s="111"/>
      <c r="E787" s="111"/>
      <c r="F787" s="108"/>
      <c r="G787" s="112"/>
      <c r="I787" s="110"/>
      <c r="K787" s="110"/>
    </row>
    <row r="788" ht="15.75" customHeight="1">
      <c r="D788" s="111"/>
      <c r="E788" s="111"/>
      <c r="F788" s="108"/>
      <c r="G788" s="112"/>
      <c r="I788" s="110"/>
      <c r="K788" s="110"/>
    </row>
    <row r="789" ht="15.75" customHeight="1">
      <c r="D789" s="111"/>
      <c r="E789" s="111"/>
      <c r="F789" s="108"/>
      <c r="G789" s="112"/>
      <c r="I789" s="110"/>
      <c r="K789" s="110"/>
    </row>
    <row r="790" ht="15.75" customHeight="1">
      <c r="D790" s="111"/>
      <c r="E790" s="111"/>
      <c r="F790" s="108"/>
      <c r="G790" s="112"/>
      <c r="I790" s="110"/>
      <c r="K790" s="110"/>
    </row>
    <row r="791" ht="15.75" customHeight="1">
      <c r="D791" s="111"/>
      <c r="E791" s="111"/>
      <c r="F791" s="108"/>
      <c r="G791" s="112"/>
      <c r="I791" s="110"/>
      <c r="K791" s="110"/>
    </row>
    <row r="792" ht="15.75" customHeight="1">
      <c r="D792" s="111"/>
      <c r="E792" s="111"/>
      <c r="F792" s="108"/>
      <c r="G792" s="112"/>
      <c r="I792" s="110"/>
      <c r="K792" s="110"/>
    </row>
    <row r="793" ht="15.75" customHeight="1">
      <c r="D793" s="111"/>
      <c r="E793" s="111"/>
      <c r="F793" s="108"/>
      <c r="G793" s="112"/>
      <c r="I793" s="110"/>
      <c r="K793" s="110"/>
    </row>
    <row r="794" ht="15.75" customHeight="1">
      <c r="D794" s="111"/>
      <c r="E794" s="111"/>
      <c r="F794" s="108"/>
      <c r="G794" s="112"/>
      <c r="I794" s="110"/>
      <c r="K794" s="110"/>
    </row>
    <row r="795" ht="15.75" customHeight="1">
      <c r="D795" s="111"/>
      <c r="E795" s="111"/>
      <c r="F795" s="108"/>
      <c r="G795" s="112"/>
      <c r="I795" s="110"/>
      <c r="K795" s="110"/>
    </row>
    <row r="796" ht="15.75" customHeight="1">
      <c r="D796" s="111"/>
      <c r="E796" s="111"/>
      <c r="F796" s="108"/>
      <c r="G796" s="112"/>
      <c r="I796" s="110"/>
      <c r="K796" s="110"/>
    </row>
    <row r="797" ht="15.75" customHeight="1">
      <c r="D797" s="111"/>
      <c r="E797" s="111"/>
      <c r="F797" s="108"/>
      <c r="G797" s="112"/>
      <c r="I797" s="110"/>
      <c r="K797" s="110"/>
    </row>
    <row r="798" ht="15.75" customHeight="1">
      <c r="D798" s="111"/>
      <c r="E798" s="111"/>
      <c r="F798" s="108"/>
      <c r="G798" s="112"/>
      <c r="I798" s="110"/>
      <c r="K798" s="110"/>
    </row>
    <row r="799" ht="15.75" customHeight="1">
      <c r="D799" s="111"/>
      <c r="E799" s="111"/>
      <c r="F799" s="108"/>
      <c r="G799" s="112"/>
      <c r="I799" s="110"/>
      <c r="K799" s="110"/>
    </row>
    <row r="800" ht="15.75" customHeight="1">
      <c r="D800" s="111"/>
      <c r="E800" s="111"/>
      <c r="F800" s="108"/>
      <c r="G800" s="112"/>
      <c r="I800" s="110"/>
      <c r="K800" s="110"/>
    </row>
    <row r="801" ht="15.75" customHeight="1">
      <c r="D801" s="111"/>
      <c r="E801" s="111"/>
      <c r="F801" s="108"/>
      <c r="G801" s="112"/>
      <c r="I801" s="110"/>
      <c r="K801" s="110"/>
    </row>
    <row r="802" ht="15.75" customHeight="1">
      <c r="D802" s="111"/>
      <c r="E802" s="111"/>
      <c r="F802" s="108"/>
      <c r="G802" s="112"/>
      <c r="I802" s="110"/>
      <c r="K802" s="110"/>
    </row>
  </sheetData>
  <autoFilter ref="$A$1:$O$802"/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47.44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113" t="s">
        <v>0</v>
      </c>
      <c r="B1" s="113" t="s">
        <v>1</v>
      </c>
      <c r="C1" s="113" t="s">
        <v>2</v>
      </c>
      <c r="D1" s="114" t="s">
        <v>116</v>
      </c>
      <c r="E1" s="114" t="s">
        <v>4</v>
      </c>
      <c r="F1" s="115" t="s">
        <v>5</v>
      </c>
      <c r="G1" s="116" t="s">
        <v>117</v>
      </c>
      <c r="H1" s="113" t="s">
        <v>118</v>
      </c>
      <c r="I1" s="113" t="s">
        <v>119</v>
      </c>
      <c r="J1" s="113" t="s">
        <v>120</v>
      </c>
      <c r="K1" s="113" t="s">
        <v>121</v>
      </c>
      <c r="L1" s="113" t="s">
        <v>122</v>
      </c>
      <c r="M1" s="117" t="s">
        <v>123</v>
      </c>
      <c r="N1" s="113" t="s">
        <v>13</v>
      </c>
      <c r="O1" s="117" t="s">
        <v>14</v>
      </c>
    </row>
    <row r="2" ht="19.5" customHeight="1">
      <c r="A2" s="118" t="s">
        <v>25</v>
      </c>
      <c r="B2" s="119">
        <v>45658.0</v>
      </c>
      <c r="C2" s="120" t="s">
        <v>37</v>
      </c>
      <c r="D2" s="121">
        <v>280.0</v>
      </c>
      <c r="E2" s="121">
        <v>4161.0</v>
      </c>
      <c r="F2" s="122">
        <v>1655.0</v>
      </c>
      <c r="G2" s="123">
        <f>'Mar 26'!$D2/E2</f>
        <v>0.06729151646</v>
      </c>
      <c r="H2" s="124"/>
      <c r="I2" s="125">
        <f>'Mar 26'!$F2/'Mar 26'!$E2</f>
        <v>0.3977409277</v>
      </c>
      <c r="J2" s="124"/>
      <c r="K2" s="118">
        <f>SUM('Mar 26'!$L2:$O2)</f>
        <v>14</v>
      </c>
      <c r="L2" s="124">
        <v>2.0</v>
      </c>
      <c r="M2" s="124">
        <v>2.0</v>
      </c>
      <c r="N2" s="126">
        <v>5.0</v>
      </c>
      <c r="O2" s="124">
        <v>5.0</v>
      </c>
    </row>
    <row r="3" ht="18.0" customHeight="1">
      <c r="A3" s="127" t="s">
        <v>15</v>
      </c>
      <c r="B3" s="128">
        <v>46023.0</v>
      </c>
      <c r="C3" s="129" t="s">
        <v>21</v>
      </c>
      <c r="D3" s="130">
        <v>280.0</v>
      </c>
      <c r="E3" s="130">
        <v>2279.0</v>
      </c>
      <c r="F3" s="131">
        <v>1593.0</v>
      </c>
      <c r="G3" s="132">
        <f>'Mar 26'!$D3/E3</f>
        <v>0.1228609039</v>
      </c>
      <c r="H3" s="133"/>
      <c r="I3" s="134">
        <f>'Mar 26'!$F3/'Mar 26'!$E3</f>
        <v>0.6989907854</v>
      </c>
      <c r="J3" s="135"/>
      <c r="K3" s="127">
        <f>SUM('Mar 26'!$L3:$O3)</f>
        <v>15</v>
      </c>
      <c r="L3" s="133">
        <v>3.0</v>
      </c>
      <c r="M3" s="133">
        <v>2.0</v>
      </c>
      <c r="N3" s="133">
        <v>5.0</v>
      </c>
      <c r="O3" s="133">
        <v>5.0</v>
      </c>
    </row>
    <row r="4" ht="18.0" customHeight="1">
      <c r="A4" s="127" t="s">
        <v>25</v>
      </c>
      <c r="B4" s="128">
        <v>45839.0</v>
      </c>
      <c r="C4" s="129" t="s">
        <v>28</v>
      </c>
      <c r="D4" s="130">
        <v>300.0</v>
      </c>
      <c r="E4" s="130">
        <v>1980.0</v>
      </c>
      <c r="F4" s="131">
        <v>843.0</v>
      </c>
      <c r="G4" s="132">
        <f>'Mar 26'!$D4/E4</f>
        <v>0.1515151515</v>
      </c>
      <c r="H4" s="133"/>
      <c r="I4" s="134">
        <f>'Mar 26'!$F4/'Mar 26'!$E4</f>
        <v>0.4257575758</v>
      </c>
      <c r="J4" s="135"/>
      <c r="K4" s="127">
        <f>SUM('Mar 26'!$L4:$O4)</f>
        <v>1</v>
      </c>
      <c r="L4" s="133">
        <v>1.0</v>
      </c>
      <c r="M4" s="133"/>
      <c r="N4" s="133"/>
      <c r="O4" s="133"/>
    </row>
    <row r="5" ht="18.0" customHeight="1">
      <c r="A5" s="127" t="s">
        <v>30</v>
      </c>
      <c r="B5" s="128">
        <v>45839.0</v>
      </c>
      <c r="C5" s="129" t="s">
        <v>31</v>
      </c>
      <c r="D5" s="130">
        <v>312.0</v>
      </c>
      <c r="E5" s="130">
        <v>1554.0</v>
      </c>
      <c r="F5" s="131">
        <v>568.0</v>
      </c>
      <c r="G5" s="132">
        <f>'Mar 26'!$D5/E5</f>
        <v>0.2007722008</v>
      </c>
      <c r="H5" s="133"/>
      <c r="I5" s="134">
        <f>'Mar 26'!$F5/'Mar 26'!$E5</f>
        <v>0.3655083655</v>
      </c>
      <c r="J5" s="133"/>
      <c r="K5" s="127">
        <f>SUM('Mar 26'!$L5:$O5)</f>
        <v>1</v>
      </c>
      <c r="L5" s="133">
        <v>1.0</v>
      </c>
      <c r="M5" s="133"/>
      <c r="N5" s="133"/>
      <c r="O5" s="133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0" customHeight="1">
      <c r="A6" s="127" t="s">
        <v>25</v>
      </c>
      <c r="B6" s="128">
        <v>45901.0</v>
      </c>
      <c r="C6" s="136" t="s">
        <v>26</v>
      </c>
      <c r="D6" s="137">
        <v>270.0</v>
      </c>
      <c r="E6" s="137">
        <v>1325.0</v>
      </c>
      <c r="F6" s="134">
        <v>618.0</v>
      </c>
      <c r="G6" s="132">
        <f>'Mar 26'!$D6/E6</f>
        <v>0.2037735849</v>
      </c>
      <c r="H6" s="127" t="s">
        <v>124</v>
      </c>
      <c r="I6" s="134">
        <f>'Mar 26'!$F6/'Mar 26'!$E6</f>
        <v>0.4664150943</v>
      </c>
      <c r="J6" s="133"/>
      <c r="K6" s="127">
        <f>SUM('Mar 26'!$L6:$O6)</f>
        <v>1</v>
      </c>
      <c r="L6" s="133">
        <v>1.0</v>
      </c>
      <c r="M6" s="133"/>
      <c r="N6" s="138"/>
      <c r="O6" s="133"/>
    </row>
    <row r="7" ht="18.0" customHeight="1">
      <c r="A7" s="139" t="s">
        <v>63</v>
      </c>
      <c r="B7" s="140">
        <v>44866.0</v>
      </c>
      <c r="C7" s="141" t="s">
        <v>67</v>
      </c>
      <c r="D7" s="142">
        <v>260.0</v>
      </c>
      <c r="E7" s="142">
        <v>1030.0</v>
      </c>
      <c r="F7" s="143">
        <v>481.0</v>
      </c>
      <c r="G7" s="144">
        <f>'Mar 26'!$D7/E7</f>
        <v>0.2524271845</v>
      </c>
      <c r="H7" s="145"/>
      <c r="I7" s="146">
        <f>'Mar 26'!$F7/'Mar 26'!$E7</f>
        <v>0.4669902913</v>
      </c>
      <c r="J7" s="145"/>
      <c r="K7" s="139">
        <f>SUM('Mar 26'!$L7:$O7)</f>
        <v>0</v>
      </c>
      <c r="L7" s="145"/>
      <c r="M7" s="145"/>
      <c r="N7" s="145"/>
      <c r="O7" s="145"/>
    </row>
    <row r="8" ht="18.0" customHeight="1">
      <c r="A8" s="127" t="s">
        <v>125</v>
      </c>
      <c r="B8" s="128">
        <v>45962.0</v>
      </c>
      <c r="C8" s="129" t="s">
        <v>23</v>
      </c>
      <c r="D8" s="130">
        <v>327.0</v>
      </c>
      <c r="E8" s="130">
        <v>1264.0</v>
      </c>
      <c r="F8" s="131">
        <v>1077.0</v>
      </c>
      <c r="G8" s="132">
        <f>'Mar 26'!$D8/E8</f>
        <v>0.2587025316</v>
      </c>
      <c r="H8" s="133" t="s">
        <v>126</v>
      </c>
      <c r="I8" s="134">
        <f>'Mar 26'!$F8/'Mar 26'!$E8</f>
        <v>0.852056962</v>
      </c>
      <c r="J8" s="133"/>
      <c r="K8" s="127">
        <f>SUM('Mar 26'!$L8:$O8)</f>
        <v>1</v>
      </c>
      <c r="L8" s="133">
        <v>1.0</v>
      </c>
      <c r="M8" s="133"/>
      <c r="N8" s="133"/>
      <c r="O8" s="133"/>
    </row>
    <row r="9" ht="18.0" customHeight="1">
      <c r="A9" s="147" t="s">
        <v>25</v>
      </c>
      <c r="B9" s="148">
        <v>45597.0</v>
      </c>
      <c r="C9" s="149" t="s">
        <v>39</v>
      </c>
      <c r="D9" s="150">
        <v>267.0</v>
      </c>
      <c r="E9" s="150">
        <v>1012.0</v>
      </c>
      <c r="F9" s="151">
        <v>509.0</v>
      </c>
      <c r="G9" s="152">
        <f>'Mar 26'!$D9/E9</f>
        <v>0.2638339921</v>
      </c>
      <c r="H9" s="153" t="s">
        <v>127</v>
      </c>
      <c r="I9" s="154">
        <f>'Mar 26'!$F9/'Mar 26'!$E9</f>
        <v>0.5029644269</v>
      </c>
      <c r="J9" s="153" t="s">
        <v>41</v>
      </c>
      <c r="K9" s="147">
        <f>SUM('Mar 26'!$L9:$O9)</f>
        <v>3</v>
      </c>
      <c r="L9" s="153">
        <v>3.0</v>
      </c>
      <c r="M9" s="153"/>
      <c r="N9" s="153"/>
      <c r="O9" s="153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8.0" customHeight="1">
      <c r="A10" s="139" t="s">
        <v>25</v>
      </c>
      <c r="B10" s="140">
        <v>45231.0</v>
      </c>
      <c r="C10" s="141" t="s">
        <v>54</v>
      </c>
      <c r="D10" s="142">
        <v>250.0</v>
      </c>
      <c r="E10" s="142">
        <v>845.0</v>
      </c>
      <c r="F10" s="143">
        <v>148.0</v>
      </c>
      <c r="G10" s="144">
        <f>'Mar 26'!$D10/E10</f>
        <v>0.2958579882</v>
      </c>
      <c r="H10" s="145" t="s">
        <v>128</v>
      </c>
      <c r="I10" s="146">
        <f>'Mar 26'!$F10/'Mar 26'!$E10</f>
        <v>0.175147929</v>
      </c>
      <c r="J10" s="145" t="s">
        <v>53</v>
      </c>
      <c r="K10" s="139">
        <f>SUM('Mar 26'!$L10:$O10)</f>
        <v>4</v>
      </c>
      <c r="L10" s="145">
        <v>4.0</v>
      </c>
      <c r="M10" s="145"/>
      <c r="N10" s="145"/>
      <c r="O10" s="145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8.0" customHeight="1">
      <c r="A11" s="139" t="s">
        <v>63</v>
      </c>
      <c r="B11" s="140">
        <v>44348.0</v>
      </c>
      <c r="C11" s="141" t="s">
        <v>83</v>
      </c>
      <c r="D11" s="142">
        <v>501.0</v>
      </c>
      <c r="E11" s="142">
        <v>1656.0</v>
      </c>
      <c r="F11" s="143">
        <v>641.0</v>
      </c>
      <c r="G11" s="144">
        <f>'Mar 26'!$D11/E11</f>
        <v>0.3025362319</v>
      </c>
      <c r="H11" s="145" t="s">
        <v>129</v>
      </c>
      <c r="I11" s="146">
        <f>'Mar 26'!$F11/'Mar 26'!$E11</f>
        <v>0.3870772947</v>
      </c>
      <c r="J11" s="155"/>
      <c r="K11" s="139">
        <f>SUM('Mar 26'!$L11:$O11)</f>
        <v>0</v>
      </c>
      <c r="L11" s="145"/>
      <c r="M11" s="145"/>
      <c r="N11" s="145"/>
      <c r="O11" s="145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8.0" customHeight="1">
      <c r="A12" s="139" t="s">
        <v>25</v>
      </c>
      <c r="B12" s="140">
        <v>45078.0</v>
      </c>
      <c r="C12" s="141" t="s">
        <v>59</v>
      </c>
      <c r="D12" s="142">
        <v>419.0</v>
      </c>
      <c r="E12" s="142">
        <v>1366.0</v>
      </c>
      <c r="F12" s="143">
        <v>418.0</v>
      </c>
      <c r="G12" s="144">
        <f>'Mar 26'!$D12/E12</f>
        <v>0.3067349927</v>
      </c>
      <c r="H12" s="145"/>
      <c r="I12" s="146">
        <f>'Mar 26'!$F12/'Mar 26'!$E12</f>
        <v>0.3060029283</v>
      </c>
      <c r="J12" s="145" t="s">
        <v>53</v>
      </c>
      <c r="K12" s="139">
        <f>SUM('Mar 26'!$L12:$O12)</f>
        <v>4</v>
      </c>
      <c r="L12" s="145">
        <v>4.0</v>
      </c>
      <c r="M12" s="145"/>
      <c r="N12" s="145"/>
      <c r="O12" s="145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8.0" customHeight="1">
      <c r="A13" s="139" t="s">
        <v>25</v>
      </c>
      <c r="B13" s="140">
        <v>45352.0</v>
      </c>
      <c r="C13" s="141" t="s">
        <v>49</v>
      </c>
      <c r="D13" s="142">
        <v>250.0</v>
      </c>
      <c r="E13" s="142">
        <v>810.0</v>
      </c>
      <c r="F13" s="143">
        <v>152.0</v>
      </c>
      <c r="G13" s="144">
        <f>'Mar 26'!$D13/E13</f>
        <v>0.3086419753</v>
      </c>
      <c r="H13" s="145"/>
      <c r="I13" s="146">
        <f>'Mar 26'!$F13/'Mar 26'!$E13</f>
        <v>0.187654321</v>
      </c>
      <c r="J13" s="145" t="s">
        <v>41</v>
      </c>
      <c r="K13" s="139">
        <f>SUM('Mar 26'!$L13:$O13)</f>
        <v>4</v>
      </c>
      <c r="L13" s="145">
        <v>4.0</v>
      </c>
      <c r="M13" s="145"/>
      <c r="N13" s="145"/>
      <c r="O13" s="145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8.0" customHeight="1">
      <c r="A14" s="139" t="s">
        <v>25</v>
      </c>
      <c r="B14" s="140">
        <v>45413.0</v>
      </c>
      <c r="C14" s="141" t="s">
        <v>47</v>
      </c>
      <c r="D14" s="142">
        <v>320.0</v>
      </c>
      <c r="E14" s="142">
        <v>1011.0</v>
      </c>
      <c r="F14" s="143">
        <v>402.0</v>
      </c>
      <c r="G14" s="144">
        <f>'Mar 26'!$D14/E14</f>
        <v>0.3165182987</v>
      </c>
      <c r="H14" s="145" t="s">
        <v>130</v>
      </c>
      <c r="I14" s="146">
        <f>'Mar 26'!$F14/'Mar 26'!$E14</f>
        <v>0.3976261128</v>
      </c>
      <c r="J14" s="145" t="s">
        <v>41</v>
      </c>
      <c r="K14" s="139">
        <f>SUM('Mar 26'!$L14:$O14)</f>
        <v>2</v>
      </c>
      <c r="L14" s="145">
        <v>2.0</v>
      </c>
      <c r="M14" s="145"/>
      <c r="N14" s="145"/>
      <c r="O14" s="145"/>
    </row>
    <row r="15" ht="18.0" customHeight="1">
      <c r="A15" s="127" t="s">
        <v>25</v>
      </c>
      <c r="B15" s="128">
        <v>45778.0</v>
      </c>
      <c r="C15" s="136" t="s">
        <v>33</v>
      </c>
      <c r="D15" s="137">
        <v>510.0</v>
      </c>
      <c r="E15" s="137">
        <v>1558.0</v>
      </c>
      <c r="F15" s="134">
        <v>813.0</v>
      </c>
      <c r="G15" s="132">
        <f>'Mar 26'!$D15/E15</f>
        <v>0.3273427471</v>
      </c>
      <c r="H15" s="127" t="s">
        <v>131</v>
      </c>
      <c r="I15" s="134">
        <f>'Mar 26'!$F15/'Mar 26'!$E15</f>
        <v>0.5218228498</v>
      </c>
      <c r="J15" s="133"/>
      <c r="K15" s="127">
        <f>SUM('Mar 26'!$L15:$O15)</f>
        <v>19</v>
      </c>
      <c r="L15" s="133">
        <v>4.0</v>
      </c>
      <c r="M15" s="133">
        <v>5.0</v>
      </c>
      <c r="N15" s="133">
        <v>5.0</v>
      </c>
      <c r="O15" s="133">
        <v>5.0</v>
      </c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8.0" customHeight="1">
      <c r="A16" s="156" t="s">
        <v>63</v>
      </c>
      <c r="B16" s="157">
        <v>44256.0</v>
      </c>
      <c r="C16" s="158" t="s">
        <v>85</v>
      </c>
      <c r="D16" s="159">
        <v>240.0</v>
      </c>
      <c r="E16" s="159">
        <v>694.0</v>
      </c>
      <c r="F16" s="160">
        <v>325.0</v>
      </c>
      <c r="G16" s="161">
        <f>'Mar 26'!$D16/E16</f>
        <v>0.3458213256</v>
      </c>
      <c r="H16" s="162"/>
      <c r="I16" s="163">
        <f>'Mar 26'!$F16/'Mar 26'!$E16</f>
        <v>0.4682997118</v>
      </c>
      <c r="J16" s="162"/>
      <c r="K16" s="156">
        <f>SUM('Mar 26'!$L16:$O16)</f>
        <v>0</v>
      </c>
      <c r="L16" s="162"/>
      <c r="M16" s="162"/>
      <c r="N16" s="162"/>
      <c r="O16" s="162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8.0" customHeight="1">
      <c r="A17" s="156" t="s">
        <v>63</v>
      </c>
      <c r="B17" s="157">
        <v>44682.0</v>
      </c>
      <c r="C17" s="158" t="s">
        <v>72</v>
      </c>
      <c r="D17" s="159">
        <v>390.0</v>
      </c>
      <c r="E17" s="159">
        <v>1000.0</v>
      </c>
      <c r="F17" s="160">
        <v>321.0</v>
      </c>
      <c r="G17" s="161">
        <f>'Mar 26'!$D17/E17</f>
        <v>0.39</v>
      </c>
      <c r="H17" s="162"/>
      <c r="I17" s="163">
        <f>'Mar 26'!$F17/'Mar 26'!$E17</f>
        <v>0.321</v>
      </c>
      <c r="J17" s="162"/>
      <c r="K17" s="156">
        <f>SUM('Mar 26'!$L17:$O17)</f>
        <v>0</v>
      </c>
      <c r="L17" s="162"/>
      <c r="M17" s="162"/>
      <c r="N17" s="162"/>
      <c r="O17" s="162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8.0" customHeight="1">
      <c r="A18" s="156" t="s">
        <v>25</v>
      </c>
      <c r="B18" s="157">
        <v>44986.0</v>
      </c>
      <c r="C18" s="158" t="s">
        <v>61</v>
      </c>
      <c r="D18" s="159">
        <v>255.0</v>
      </c>
      <c r="E18" s="159">
        <v>609.0</v>
      </c>
      <c r="F18" s="160">
        <v>130.0</v>
      </c>
      <c r="G18" s="161">
        <f>'Mar 26'!$D18/E18</f>
        <v>0.4187192118</v>
      </c>
      <c r="H18" s="162"/>
      <c r="I18" s="163">
        <f>'Mar 26'!$F18/'Mar 26'!$E18</f>
        <v>0.2134646962</v>
      </c>
      <c r="J18" s="162" t="s">
        <v>53</v>
      </c>
      <c r="K18" s="156">
        <f>SUM('Mar 26'!$L18:$O18)</f>
        <v>0</v>
      </c>
      <c r="L18" s="162"/>
      <c r="M18" s="162"/>
      <c r="N18" s="162"/>
      <c r="O18" s="162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3.0" customHeight="1">
      <c r="A19" s="127" t="s">
        <v>63</v>
      </c>
      <c r="B19" s="128">
        <v>44409.0</v>
      </c>
      <c r="C19" s="129" t="s">
        <v>80</v>
      </c>
      <c r="D19" s="130">
        <v>2500.0</v>
      </c>
      <c r="E19" s="130">
        <v>5846.0</v>
      </c>
      <c r="F19" s="131">
        <v>2737.0</v>
      </c>
      <c r="G19" s="132">
        <f>'Mar 26'!$D19/E19</f>
        <v>0.4276428327</v>
      </c>
      <c r="H19" s="127" t="s">
        <v>132</v>
      </c>
      <c r="I19" s="134">
        <f>'Mar 26'!$F19/'Mar 26'!$E19</f>
        <v>0.4681833732</v>
      </c>
      <c r="J19" s="133" t="s">
        <v>82</v>
      </c>
      <c r="K19" s="127">
        <f>SUM('Mar 26'!$L19:$O19)</f>
        <v>20</v>
      </c>
      <c r="L19" s="133">
        <v>5.0</v>
      </c>
      <c r="M19" s="133">
        <v>5.0</v>
      </c>
      <c r="N19" s="133">
        <v>5.0</v>
      </c>
      <c r="O19" s="133">
        <v>5.0</v>
      </c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8.0" customHeight="1">
      <c r="A20" s="164" t="s">
        <v>25</v>
      </c>
      <c r="B20" s="165">
        <v>45717.0</v>
      </c>
      <c r="C20" s="166" t="s">
        <v>35</v>
      </c>
      <c r="D20" s="167">
        <v>252.0</v>
      </c>
      <c r="E20" s="167">
        <v>541.0</v>
      </c>
      <c r="F20" s="168">
        <v>232.0</v>
      </c>
      <c r="G20" s="169">
        <f>'Mar 26'!$D20/E20</f>
        <v>0.4658040665</v>
      </c>
      <c r="H20" s="170"/>
      <c r="I20" s="171">
        <f>'Mar 26'!$F20/'Mar 26'!$E20</f>
        <v>0.4288354898</v>
      </c>
      <c r="J20" s="170"/>
      <c r="K20" s="164">
        <f>SUM('Mar 26'!$L20:$O20)</f>
        <v>0</v>
      </c>
      <c r="L20" s="170"/>
      <c r="M20" s="170"/>
      <c r="N20" s="170"/>
      <c r="O20" s="170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8.0" customHeight="1">
      <c r="A21" s="139" t="s">
        <v>63</v>
      </c>
      <c r="B21" s="140">
        <v>44805.0</v>
      </c>
      <c r="C21" s="141" t="s">
        <v>70</v>
      </c>
      <c r="D21" s="142">
        <v>733.0</v>
      </c>
      <c r="E21" s="142">
        <v>1500.0</v>
      </c>
      <c r="F21" s="143">
        <v>933.0</v>
      </c>
      <c r="G21" s="144">
        <f>'Mar 26'!$D21/E21</f>
        <v>0.4886666667</v>
      </c>
      <c r="H21" s="145"/>
      <c r="I21" s="146">
        <f>'Mar 26'!$F21/'Mar 26'!$E21</f>
        <v>0.622</v>
      </c>
      <c r="J21" s="145"/>
      <c r="K21" s="139">
        <f>SUM('Mar 26'!$L21:$O21)</f>
        <v>0</v>
      </c>
      <c r="L21" s="145"/>
      <c r="M21" s="145"/>
      <c r="N21" s="145"/>
      <c r="O21" s="145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8.0" customHeight="1">
      <c r="A22" s="147" t="s">
        <v>25</v>
      </c>
      <c r="B22" s="148">
        <v>45170.0</v>
      </c>
      <c r="C22" s="172">
        <v>151.0</v>
      </c>
      <c r="D22" s="150">
        <v>780.0</v>
      </c>
      <c r="E22" s="150">
        <v>1530.0</v>
      </c>
      <c r="F22" s="151">
        <v>633.0</v>
      </c>
      <c r="G22" s="152">
        <f>'Mar 26'!$D22/E22</f>
        <v>0.5098039216</v>
      </c>
      <c r="H22" s="153"/>
      <c r="I22" s="154">
        <f>'Mar 26'!$F22/'Mar 26'!$E22</f>
        <v>0.4137254902</v>
      </c>
      <c r="J22" s="153" t="s">
        <v>53</v>
      </c>
      <c r="K22" s="147">
        <f>SUM('Mar 26'!$L22:$O22)</f>
        <v>0</v>
      </c>
      <c r="L22" s="153"/>
      <c r="M22" s="153"/>
      <c r="N22" s="153"/>
      <c r="O22" s="153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8.0" customHeight="1">
      <c r="A23" s="139" t="s">
        <v>63</v>
      </c>
      <c r="B23" s="140">
        <v>44593.0</v>
      </c>
      <c r="C23" s="141" t="s">
        <v>74</v>
      </c>
      <c r="D23" s="142">
        <v>580.0</v>
      </c>
      <c r="E23" s="142">
        <v>1100.0</v>
      </c>
      <c r="F23" s="143">
        <v>371.0</v>
      </c>
      <c r="G23" s="144">
        <f>'Mar 26'!$D23/E23</f>
        <v>0.5272727273</v>
      </c>
      <c r="H23" s="145"/>
      <c r="I23" s="146">
        <f>'Mar 26'!$F23/'Mar 26'!$E23</f>
        <v>0.3372727273</v>
      </c>
      <c r="J23" s="145"/>
      <c r="K23" s="139">
        <f>SUM('Mar 26'!$L23:$O23)</f>
        <v>0</v>
      </c>
      <c r="L23" s="145"/>
      <c r="M23" s="145"/>
      <c r="N23" s="145"/>
      <c r="O23" s="145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8.0" customHeight="1">
      <c r="A24" s="164" t="s">
        <v>25</v>
      </c>
      <c r="B24" s="165">
        <v>45292.0</v>
      </c>
      <c r="C24" s="166" t="s">
        <v>51</v>
      </c>
      <c r="D24" s="167">
        <v>800.0</v>
      </c>
      <c r="E24" s="167">
        <v>1513.0</v>
      </c>
      <c r="F24" s="168">
        <v>798.0</v>
      </c>
      <c r="G24" s="169">
        <f>'Mar 26'!$D24/E24</f>
        <v>0.5287508262</v>
      </c>
      <c r="H24" s="170"/>
      <c r="I24" s="171">
        <f>'Mar 26'!$F24/'Mar 26'!$E24</f>
        <v>0.5274289491</v>
      </c>
      <c r="J24" s="170" t="s">
        <v>53</v>
      </c>
      <c r="K24" s="164">
        <f>SUM('Mar 26'!$L24:$O24)</f>
        <v>0</v>
      </c>
      <c r="L24" s="170"/>
      <c r="M24" s="170"/>
      <c r="N24" s="170"/>
      <c r="O24" s="170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8.0" customHeight="1">
      <c r="A25" s="164" t="s">
        <v>25</v>
      </c>
      <c r="B25" s="165">
        <v>45505.0</v>
      </c>
      <c r="C25" s="166" t="s">
        <v>44</v>
      </c>
      <c r="D25" s="167">
        <v>240.0</v>
      </c>
      <c r="E25" s="167">
        <v>434.0</v>
      </c>
      <c r="F25" s="168">
        <v>124.0</v>
      </c>
      <c r="G25" s="169">
        <f>'Mar 26'!$D25/E25</f>
        <v>0.5529953917</v>
      </c>
      <c r="H25" s="170"/>
      <c r="I25" s="171">
        <f>'Mar 26'!$F25/'Mar 26'!$E25</f>
        <v>0.2857142857</v>
      </c>
      <c r="J25" s="170" t="s">
        <v>41</v>
      </c>
      <c r="K25" s="164">
        <f>SUM('Mar 26'!$L25:$O25)</f>
        <v>0</v>
      </c>
      <c r="L25" s="170"/>
      <c r="M25" s="170"/>
      <c r="N25" s="170"/>
      <c r="O25" s="170"/>
    </row>
    <row r="26" ht="18.0" customHeight="1">
      <c r="A26" s="127" t="s">
        <v>63</v>
      </c>
      <c r="B26" s="128">
        <v>44501.0</v>
      </c>
      <c r="C26" s="129" t="s">
        <v>76</v>
      </c>
      <c r="D26" s="130">
        <v>1005.0</v>
      </c>
      <c r="E26" s="130">
        <v>1776.0</v>
      </c>
      <c r="F26" s="131">
        <v>1205.0</v>
      </c>
      <c r="G26" s="132">
        <f>'Mar 26'!$D26/E26</f>
        <v>0.5658783784</v>
      </c>
      <c r="H26" s="133" t="s">
        <v>133</v>
      </c>
      <c r="I26" s="134">
        <f>'Mar 26'!$F26/'Mar 26'!$E26</f>
        <v>0.678490991</v>
      </c>
      <c r="J26" s="133"/>
      <c r="K26" s="127">
        <f>SUM('Mar 26'!$L26:$O26)</f>
        <v>0</v>
      </c>
      <c r="L26" s="133"/>
      <c r="M26" s="133"/>
      <c r="N26" s="133"/>
      <c r="O26" s="133"/>
    </row>
    <row r="27" ht="18.0" customHeight="1">
      <c r="A27" s="164" t="s">
        <v>63</v>
      </c>
      <c r="B27" s="165">
        <v>44136.0</v>
      </c>
      <c r="C27" s="166" t="s">
        <v>89</v>
      </c>
      <c r="D27" s="167">
        <v>280.0</v>
      </c>
      <c r="E27" s="167">
        <v>470.0</v>
      </c>
      <c r="F27" s="168">
        <v>190.0</v>
      </c>
      <c r="G27" s="169">
        <f>'Mar 26'!$D27/E27</f>
        <v>0.5957446809</v>
      </c>
      <c r="H27" s="170"/>
      <c r="I27" s="171">
        <f>'Mar 26'!$F27/'Mar 26'!$E27</f>
        <v>0.4042553191</v>
      </c>
      <c r="J27" s="170"/>
      <c r="K27" s="164">
        <f>SUM('Mar 26'!$L27:$O27)</f>
        <v>14</v>
      </c>
      <c r="L27" s="170">
        <v>5.0</v>
      </c>
      <c r="M27" s="170">
        <v>5.0</v>
      </c>
      <c r="N27" s="170">
        <v>3.0</v>
      </c>
      <c r="O27" s="170">
        <v>1.0</v>
      </c>
    </row>
    <row r="28" ht="18.0" customHeight="1">
      <c r="A28" s="139" t="s">
        <v>63</v>
      </c>
      <c r="B28" s="140">
        <v>44927.0</v>
      </c>
      <c r="C28" s="141" t="s">
        <v>64</v>
      </c>
      <c r="D28" s="142">
        <v>1140.0</v>
      </c>
      <c r="E28" s="142">
        <v>1750.0</v>
      </c>
      <c r="F28" s="143">
        <v>524.0</v>
      </c>
      <c r="G28" s="144">
        <f>'Mar 26'!$D28/E28</f>
        <v>0.6514285714</v>
      </c>
      <c r="H28" s="145"/>
      <c r="I28" s="146">
        <f>'Mar 26'!$F28/'Mar 26'!$E28</f>
        <v>0.2994285714</v>
      </c>
      <c r="J28" s="145"/>
      <c r="K28" s="139">
        <f>SUM('Mar 26'!$L28:$O28)</f>
        <v>0</v>
      </c>
      <c r="L28" s="145"/>
      <c r="M28" s="145"/>
      <c r="N28" s="145"/>
      <c r="O28" s="145"/>
    </row>
    <row r="29" ht="18.0" customHeight="1">
      <c r="A29" s="127" t="s">
        <v>134</v>
      </c>
      <c r="B29" s="128">
        <v>43678.0</v>
      </c>
      <c r="C29" s="129" t="s">
        <v>102</v>
      </c>
      <c r="D29" s="130">
        <v>1800.0</v>
      </c>
      <c r="E29" s="130">
        <v>2700.0</v>
      </c>
      <c r="F29" s="131">
        <v>947.0</v>
      </c>
      <c r="G29" s="132">
        <f>'Mar 26'!$D29/E29</f>
        <v>0.6666666667</v>
      </c>
      <c r="H29" s="133"/>
      <c r="I29" s="134">
        <f>'Mar 26'!$F29/'Mar 26'!$E29</f>
        <v>0.3507407407</v>
      </c>
      <c r="J29" s="133"/>
      <c r="K29" s="127">
        <f>SUM('Mar 26'!$L29:$O29)</f>
        <v>0</v>
      </c>
      <c r="L29" s="133"/>
      <c r="M29" s="133"/>
      <c r="N29" s="133"/>
      <c r="O29" s="133"/>
    </row>
    <row r="30" ht="18.0" customHeight="1">
      <c r="A30" s="127" t="s">
        <v>25</v>
      </c>
      <c r="B30" s="128">
        <v>45536.0</v>
      </c>
      <c r="C30" s="129" t="s">
        <v>42</v>
      </c>
      <c r="D30" s="130">
        <v>290.0</v>
      </c>
      <c r="E30" s="130">
        <v>420.0</v>
      </c>
      <c r="F30" s="131">
        <v>176.0</v>
      </c>
      <c r="G30" s="132">
        <f>'Mar 26'!$D30/E30</f>
        <v>0.6904761905</v>
      </c>
      <c r="H30" s="133" t="s">
        <v>135</v>
      </c>
      <c r="I30" s="134">
        <f>'Mar 26'!$F30/'Mar 26'!$E30</f>
        <v>0.419047619</v>
      </c>
      <c r="J30" s="133" t="s">
        <v>41</v>
      </c>
      <c r="K30" s="127">
        <f>SUM('Mar 26'!$L30:$O30)</f>
        <v>0</v>
      </c>
      <c r="L30" s="133"/>
      <c r="M30" s="133"/>
      <c r="N30" s="133"/>
      <c r="O30" s="133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8.0" customHeight="1">
      <c r="A31" s="127" t="s">
        <v>134</v>
      </c>
      <c r="B31" s="128">
        <v>43770.0</v>
      </c>
      <c r="C31" s="129" t="s">
        <v>100</v>
      </c>
      <c r="D31" s="130">
        <v>3829.0</v>
      </c>
      <c r="E31" s="130">
        <v>5371.0</v>
      </c>
      <c r="F31" s="131">
        <v>1259.0</v>
      </c>
      <c r="G31" s="132">
        <f>'Mar 26'!$D31/E31</f>
        <v>0.7129026252</v>
      </c>
      <c r="H31" s="133" t="s">
        <v>136</v>
      </c>
      <c r="I31" s="134">
        <f>'Mar 26'!$F31/'Mar 26'!$E31</f>
        <v>0.2344070006</v>
      </c>
      <c r="J31" s="133"/>
      <c r="K31" s="127">
        <f>SUM('Mar 26'!$L31:$O31)</f>
        <v>0</v>
      </c>
      <c r="L31" s="133"/>
      <c r="M31" s="133"/>
      <c r="N31" s="133"/>
      <c r="O31" s="133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8.0" customHeight="1">
      <c r="A32" s="127" t="s">
        <v>134</v>
      </c>
      <c r="B32" s="128">
        <v>43405.0</v>
      </c>
      <c r="C32" s="129" t="s">
        <v>110</v>
      </c>
      <c r="D32" s="130">
        <v>1757.0</v>
      </c>
      <c r="E32" s="130">
        <v>2273.0</v>
      </c>
      <c r="F32" s="131">
        <v>551.0</v>
      </c>
      <c r="G32" s="132">
        <f>'Mar 26'!$D32/E32</f>
        <v>0.7729872415</v>
      </c>
      <c r="H32" s="133"/>
      <c r="I32" s="134">
        <f>'Mar 26'!$F32/'Mar 26'!$E32</f>
        <v>0.2424109107</v>
      </c>
      <c r="J32" s="135"/>
      <c r="K32" s="127">
        <f>SUM('Mar 26'!$L32:$O32)</f>
        <v>0</v>
      </c>
      <c r="L32" s="133"/>
      <c r="M32" s="133"/>
      <c r="N32" s="133"/>
      <c r="O32" s="133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8.0" customHeight="1">
      <c r="A33" s="127" t="s">
        <v>134</v>
      </c>
      <c r="B33" s="128">
        <v>43586.0</v>
      </c>
      <c r="C33" s="129" t="s">
        <v>106</v>
      </c>
      <c r="D33" s="130">
        <v>2658.0</v>
      </c>
      <c r="E33" s="130">
        <v>3435.0</v>
      </c>
      <c r="F33" s="131">
        <v>1054.0</v>
      </c>
      <c r="G33" s="132">
        <f>'Mar 26'!$D33/E33</f>
        <v>0.7737991266</v>
      </c>
      <c r="H33" s="133"/>
      <c r="I33" s="134">
        <f>'Mar 26'!$F33/'Mar 26'!$E33</f>
        <v>0.3068413392</v>
      </c>
      <c r="J33" s="133"/>
      <c r="K33" s="127">
        <f>SUM('Mar 26'!$L33:$O33)</f>
        <v>0</v>
      </c>
      <c r="L33" s="133"/>
      <c r="M33" s="133"/>
      <c r="N33" s="133"/>
      <c r="O33" s="133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8.0" customHeight="1">
      <c r="A34" s="164" t="s">
        <v>25</v>
      </c>
      <c r="B34" s="165">
        <v>45139.0</v>
      </c>
      <c r="C34" s="166" t="s">
        <v>57</v>
      </c>
      <c r="D34" s="167">
        <v>300.0</v>
      </c>
      <c r="E34" s="167">
        <v>382.0</v>
      </c>
      <c r="F34" s="168">
        <v>146.0</v>
      </c>
      <c r="G34" s="169">
        <f>'Mar 26'!$D34/E34</f>
        <v>0.7853403141</v>
      </c>
      <c r="H34" s="164" t="s">
        <v>137</v>
      </c>
      <c r="I34" s="171">
        <f>'Mar 26'!$F34/'Mar 26'!$E34</f>
        <v>0.3821989529</v>
      </c>
      <c r="J34" s="170" t="s">
        <v>53</v>
      </c>
      <c r="K34" s="164">
        <f>SUM('Mar 26'!$L34:$O34)</f>
        <v>0</v>
      </c>
      <c r="L34" s="170"/>
      <c r="M34" s="170"/>
      <c r="N34" s="170"/>
      <c r="O34" s="170"/>
    </row>
    <row r="35" ht="18.0" customHeight="1">
      <c r="A35" s="127" t="s">
        <v>134</v>
      </c>
      <c r="B35" s="128">
        <v>43678.0</v>
      </c>
      <c r="C35" s="129" t="s">
        <v>104</v>
      </c>
      <c r="D35" s="130">
        <v>3111.0</v>
      </c>
      <c r="E35" s="130">
        <v>3846.0</v>
      </c>
      <c r="F35" s="131">
        <v>1009.0</v>
      </c>
      <c r="G35" s="132">
        <f>'Mar 26'!$D35/E35</f>
        <v>0.8088923557</v>
      </c>
      <c r="H35" s="133"/>
      <c r="I35" s="134">
        <f>'Mar 26'!$F35/'Mar 26'!$E35</f>
        <v>0.262350494</v>
      </c>
      <c r="J35" s="133"/>
      <c r="K35" s="127">
        <f>SUM('Mar 26'!$L35:$O35)</f>
        <v>0</v>
      </c>
      <c r="L35" s="133"/>
      <c r="M35" s="133"/>
      <c r="N35" s="133"/>
      <c r="O35" s="133"/>
    </row>
    <row r="36" ht="18.0" customHeight="1">
      <c r="A36" s="127" t="s">
        <v>134</v>
      </c>
      <c r="B36" s="128">
        <v>43132.0</v>
      </c>
      <c r="C36" s="129" t="s">
        <v>112</v>
      </c>
      <c r="D36" s="130">
        <v>1671.0</v>
      </c>
      <c r="E36" s="130">
        <v>2002.0</v>
      </c>
      <c r="F36" s="131">
        <v>802.0</v>
      </c>
      <c r="G36" s="132">
        <f>'Mar 26'!$D36/E36</f>
        <v>0.8346653347</v>
      </c>
      <c r="H36" s="133" t="s">
        <v>136</v>
      </c>
      <c r="I36" s="134">
        <f>'Mar 26'!$F36/'Mar 26'!$E36</f>
        <v>0.4005994006</v>
      </c>
      <c r="J36" s="133"/>
      <c r="K36" s="127">
        <f>SUM('Mar 26'!$L36:$O36)</f>
        <v>0</v>
      </c>
      <c r="L36" s="133"/>
      <c r="M36" s="133"/>
      <c r="N36" s="133"/>
      <c r="O36" s="133"/>
    </row>
    <row r="37" ht="18.0" customHeight="1">
      <c r="A37" s="127" t="s">
        <v>63</v>
      </c>
      <c r="B37" s="128">
        <v>44228.0</v>
      </c>
      <c r="C37" s="129" t="s">
        <v>87</v>
      </c>
      <c r="D37" s="130">
        <v>456.0</v>
      </c>
      <c r="E37" s="130">
        <v>500.0</v>
      </c>
      <c r="F37" s="131">
        <v>152.0</v>
      </c>
      <c r="G37" s="132">
        <f>'Mar 26'!$D37/E37</f>
        <v>0.912</v>
      </c>
      <c r="H37" s="133"/>
      <c r="I37" s="134">
        <f>'Mar 26'!$F37/'Mar 26'!$E37</f>
        <v>0.304</v>
      </c>
      <c r="J37" s="133"/>
      <c r="K37" s="127">
        <f>SUM('Mar 26'!$L37:$O37)</f>
        <v>0</v>
      </c>
      <c r="L37" s="133"/>
      <c r="M37" s="133"/>
      <c r="N37" s="133"/>
      <c r="O37" s="133"/>
    </row>
    <row r="38" ht="18.0" customHeight="1">
      <c r="A38" s="127" t="s">
        <v>63</v>
      </c>
      <c r="B38" s="128">
        <v>43952.0</v>
      </c>
      <c r="C38" s="129" t="s">
        <v>95</v>
      </c>
      <c r="D38" s="130">
        <v>497.0</v>
      </c>
      <c r="E38" s="130">
        <v>478.0</v>
      </c>
      <c r="F38" s="131">
        <v>115.0</v>
      </c>
      <c r="G38" s="132">
        <f>'Mar 26'!$D38/E38</f>
        <v>1.039748954</v>
      </c>
      <c r="H38" s="133"/>
      <c r="I38" s="134">
        <f>'Mar 26'!$F38/'Mar 26'!$E38</f>
        <v>0.2405857741</v>
      </c>
      <c r="J38" s="133"/>
      <c r="K38" s="127">
        <f>SUM('Mar 26'!$L38:$O38)</f>
        <v>0</v>
      </c>
      <c r="L38" s="133"/>
      <c r="M38" s="133"/>
      <c r="N38" s="133"/>
      <c r="O38" s="133"/>
    </row>
    <row r="39" ht="18.0" customHeight="1">
      <c r="A39" s="127" t="s">
        <v>63</v>
      </c>
      <c r="B39" s="128">
        <v>44075.0</v>
      </c>
      <c r="C39" s="129" t="s">
        <v>91</v>
      </c>
      <c r="D39" s="130">
        <v>612.0</v>
      </c>
      <c r="E39" s="130">
        <v>521.0</v>
      </c>
      <c r="F39" s="131">
        <v>454.0</v>
      </c>
      <c r="G39" s="132">
        <f>'Mar 26'!$D39/E39</f>
        <v>1.174664107</v>
      </c>
      <c r="H39" s="133"/>
      <c r="I39" s="134">
        <f>'Mar 26'!$F39/'Mar 26'!$E39</f>
        <v>0.8714011516</v>
      </c>
      <c r="J39" s="133"/>
      <c r="K39" s="127">
        <f>SUM('Mar 26'!$L39:$O39)</f>
        <v>0</v>
      </c>
      <c r="L39" s="133"/>
      <c r="M39" s="133"/>
      <c r="N39" s="133"/>
      <c r="O39" s="133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8.0" customHeight="1">
      <c r="A40" s="127" t="s">
        <v>63</v>
      </c>
      <c r="B40" s="128">
        <v>44044.0</v>
      </c>
      <c r="C40" s="129" t="s">
        <v>93</v>
      </c>
      <c r="D40" s="130">
        <v>324.0</v>
      </c>
      <c r="E40" s="130">
        <v>270.0</v>
      </c>
      <c r="F40" s="131">
        <v>70.0</v>
      </c>
      <c r="G40" s="132">
        <f>'Mar 26'!$D40/E40</f>
        <v>1.2</v>
      </c>
      <c r="H40" s="133"/>
      <c r="I40" s="134">
        <f>'Mar 26'!$F40/'Mar 26'!$E40</f>
        <v>0.2592592593</v>
      </c>
      <c r="J40" s="133"/>
      <c r="K40" s="127">
        <f>SUM('Mar 26'!$L40:$O40)</f>
        <v>0</v>
      </c>
      <c r="L40" s="133"/>
      <c r="M40" s="133"/>
      <c r="N40" s="133"/>
      <c r="O40" s="133"/>
    </row>
    <row r="41" ht="18.0" customHeight="1">
      <c r="A41" s="127" t="s">
        <v>134</v>
      </c>
      <c r="B41" s="128">
        <v>43497.0</v>
      </c>
      <c r="C41" s="136" t="s">
        <v>108</v>
      </c>
      <c r="D41" s="137">
        <v>10481.0</v>
      </c>
      <c r="E41" s="137">
        <v>8730.0</v>
      </c>
      <c r="F41" s="134">
        <v>5019.0</v>
      </c>
      <c r="G41" s="132">
        <f>'Mar 26'!$D41/E41</f>
        <v>1.200572738</v>
      </c>
      <c r="H41" s="127" t="s">
        <v>138</v>
      </c>
      <c r="I41" s="134">
        <f>'Mar 26'!$F41/'Mar 26'!$E41</f>
        <v>0.5749140893</v>
      </c>
      <c r="J41" s="133"/>
      <c r="K41" s="127">
        <f>SUM('Mar 26'!$L41:$O41)</f>
        <v>0</v>
      </c>
      <c r="L41" s="133"/>
      <c r="M41" s="133"/>
      <c r="N41" s="133"/>
      <c r="O41" s="133"/>
    </row>
    <row r="42" ht="18.0" customHeight="1">
      <c r="A42" s="127" t="s">
        <v>63</v>
      </c>
      <c r="B42" s="128">
        <v>43862.0</v>
      </c>
      <c r="C42" s="129" t="s">
        <v>97</v>
      </c>
      <c r="D42" s="130">
        <v>665.0</v>
      </c>
      <c r="E42" s="130">
        <v>500.0</v>
      </c>
      <c r="F42" s="131">
        <v>153.0</v>
      </c>
      <c r="G42" s="132">
        <f>'Mar 26'!$D42/E42</f>
        <v>1.33</v>
      </c>
      <c r="H42" s="133"/>
      <c r="I42" s="134">
        <f>'Mar 26'!$F42/'Mar 26'!$E42</f>
        <v>0.306</v>
      </c>
      <c r="J42" s="133"/>
      <c r="K42" s="127">
        <f>SUM('Mar 26'!$L42:$O42)</f>
        <v>0</v>
      </c>
      <c r="L42" s="133"/>
      <c r="M42" s="133"/>
      <c r="N42" s="133"/>
      <c r="O42" s="133"/>
    </row>
    <row r="43" ht="18.0" customHeight="1">
      <c r="A43" s="139" t="s">
        <v>63</v>
      </c>
      <c r="B43" s="140">
        <v>44470.0</v>
      </c>
      <c r="C43" s="141" t="s">
        <v>78</v>
      </c>
      <c r="D43" s="142">
        <v>864.0</v>
      </c>
      <c r="E43" s="142">
        <v>600.0</v>
      </c>
      <c r="F43" s="143">
        <v>313.0</v>
      </c>
      <c r="G43" s="144">
        <f>'Mar 26'!$D43/E43</f>
        <v>1.44</v>
      </c>
      <c r="H43" s="145"/>
      <c r="I43" s="146">
        <f>'Mar 26'!$F43/'Mar 26'!$E43</f>
        <v>0.5216666667</v>
      </c>
      <c r="J43" s="145"/>
      <c r="K43" s="139">
        <f>SUM('Mar 26'!$L43:$O43)</f>
        <v>0</v>
      </c>
      <c r="L43" s="145"/>
      <c r="M43" s="145"/>
      <c r="N43" s="145"/>
      <c r="O43" s="145"/>
    </row>
    <row r="44" ht="18.0" customHeight="1">
      <c r="A44" s="127" t="s">
        <v>63</v>
      </c>
      <c r="B44" s="128">
        <v>42675.0</v>
      </c>
      <c r="C44" s="129" t="s">
        <v>114</v>
      </c>
      <c r="D44" s="130">
        <v>1800.0</v>
      </c>
      <c r="E44" s="130">
        <v>826.0</v>
      </c>
      <c r="F44" s="131">
        <v>253.0</v>
      </c>
      <c r="G44" s="132">
        <f>'Mar 26'!$D44/E44</f>
        <v>2.179176755</v>
      </c>
      <c r="H44" s="133"/>
      <c r="I44" s="134">
        <f>'Mar 26'!$F44/'Mar 26'!$E44</f>
        <v>0.3062953995</v>
      </c>
      <c r="J44" s="133"/>
      <c r="K44" s="127">
        <f>SUM('Mar 26'!$L44:$O44)</f>
        <v>0</v>
      </c>
      <c r="L44" s="133"/>
      <c r="M44" s="133"/>
      <c r="N44" s="133"/>
      <c r="O44" s="133"/>
    </row>
    <row r="45" ht="15.75" customHeight="1">
      <c r="B45" s="173"/>
      <c r="D45" s="111"/>
      <c r="E45" s="111"/>
      <c r="F45" s="108"/>
      <c r="G45" s="112"/>
      <c r="I45" s="173" t="s">
        <v>139</v>
      </c>
      <c r="K45" s="110"/>
    </row>
    <row r="46" ht="15.75" customHeight="1">
      <c r="B46" s="173"/>
      <c r="D46" s="111"/>
      <c r="E46" s="111"/>
      <c r="F46" s="108"/>
      <c r="G46" s="112"/>
      <c r="I46" s="173" t="s">
        <v>140</v>
      </c>
      <c r="K46" s="110"/>
    </row>
    <row r="47" ht="15.75" customHeight="1">
      <c r="B47" s="173"/>
      <c r="D47" s="111"/>
      <c r="E47" s="111"/>
      <c r="F47" s="108"/>
      <c r="G47" s="112"/>
      <c r="I47" s="173" t="s">
        <v>141</v>
      </c>
      <c r="K47" s="110"/>
    </row>
    <row r="48" ht="15.75" customHeight="1">
      <c r="B48" s="173"/>
      <c r="D48" s="111"/>
      <c r="E48" s="111"/>
      <c r="F48" s="108"/>
      <c r="G48" s="112"/>
      <c r="I48" s="173" t="s">
        <v>142</v>
      </c>
      <c r="K48" s="110"/>
    </row>
    <row r="49" ht="15.75" customHeight="1">
      <c r="B49" s="173"/>
      <c r="D49" s="111"/>
      <c r="E49" s="111"/>
      <c r="F49" s="108"/>
      <c r="G49" s="112"/>
      <c r="I49" s="110"/>
      <c r="K49" s="110"/>
    </row>
    <row r="50" ht="15.75" customHeight="1">
      <c r="B50" s="173"/>
      <c r="D50" s="111"/>
      <c r="E50" s="111"/>
      <c r="F50" s="108"/>
      <c r="G50" s="112"/>
      <c r="I50" s="110"/>
      <c r="K50" s="110"/>
    </row>
    <row r="51" ht="15.75" customHeight="1">
      <c r="B51" s="173"/>
      <c r="D51" s="111"/>
      <c r="E51" s="111"/>
      <c r="F51" s="108"/>
      <c r="G51" s="112"/>
      <c r="I51" s="110"/>
      <c r="J51" s="10"/>
      <c r="K51" s="110"/>
    </row>
    <row r="52" ht="15.75" customHeight="1">
      <c r="B52" s="173"/>
      <c r="D52" s="111"/>
      <c r="E52" s="111"/>
      <c r="F52" s="108"/>
      <c r="G52" s="112"/>
      <c r="I52" s="110"/>
      <c r="J52" s="24"/>
      <c r="K52" s="110"/>
    </row>
    <row r="53" ht="15.75" customHeight="1">
      <c r="B53" s="173"/>
      <c r="D53" s="111"/>
      <c r="E53" s="111"/>
      <c r="F53" s="108"/>
      <c r="G53" s="112"/>
      <c r="I53" s="110"/>
      <c r="J53" s="24"/>
      <c r="K53" s="110"/>
    </row>
    <row r="54" ht="15.75" customHeight="1">
      <c r="B54" s="173"/>
      <c r="D54" s="111"/>
      <c r="E54" s="111"/>
      <c r="F54" s="108"/>
      <c r="G54" s="112"/>
      <c r="I54" s="110"/>
      <c r="J54" s="24"/>
      <c r="K54" s="110"/>
    </row>
    <row r="55" ht="15.75" customHeight="1">
      <c r="B55" s="173"/>
      <c r="D55" s="111"/>
      <c r="E55" s="111"/>
      <c r="F55" s="108"/>
      <c r="G55" s="112"/>
      <c r="I55" s="110"/>
      <c r="K55" s="110"/>
    </row>
    <row r="56" ht="15.75" customHeight="1">
      <c r="B56" s="173"/>
      <c r="D56" s="111"/>
      <c r="E56" s="111"/>
      <c r="F56" s="108"/>
      <c r="G56" s="112"/>
      <c r="I56" s="110"/>
      <c r="K56" s="110"/>
    </row>
    <row r="57" ht="15.75" customHeight="1">
      <c r="B57" s="173"/>
      <c r="D57" s="111"/>
      <c r="E57" s="111"/>
      <c r="F57" s="108"/>
      <c r="G57" s="112"/>
      <c r="I57" s="110"/>
      <c r="K57" s="110"/>
    </row>
    <row r="58" ht="15.75" customHeight="1">
      <c r="B58" s="173"/>
      <c r="D58" s="111"/>
      <c r="E58" s="111"/>
      <c r="F58" s="108"/>
      <c r="G58" s="112"/>
      <c r="I58" s="10"/>
      <c r="J58" s="10"/>
      <c r="K58" s="110"/>
    </row>
    <row r="59" ht="15.75" customHeight="1">
      <c r="B59" s="173"/>
      <c r="D59" s="111"/>
      <c r="E59" s="111"/>
      <c r="F59" s="108"/>
      <c r="G59" s="112"/>
      <c r="I59" s="110"/>
      <c r="J59" s="24"/>
      <c r="K59" s="110"/>
    </row>
    <row r="60" ht="15.75" customHeight="1">
      <c r="B60" s="173"/>
      <c r="D60" s="111"/>
      <c r="E60" s="111"/>
      <c r="F60" s="108"/>
      <c r="G60" s="112"/>
      <c r="I60" s="110"/>
      <c r="J60" s="24"/>
      <c r="K60" s="110"/>
    </row>
    <row r="61" ht="15.75" customHeight="1">
      <c r="B61" s="173"/>
      <c r="D61" s="111"/>
      <c r="E61" s="111"/>
      <c r="F61" s="108"/>
      <c r="G61" s="112"/>
      <c r="I61" s="110"/>
      <c r="J61" s="24"/>
      <c r="K61" s="110"/>
    </row>
    <row r="62" ht="15.75" customHeight="1">
      <c r="B62" s="173"/>
      <c r="D62" s="111"/>
      <c r="E62" s="111"/>
      <c r="F62" s="108"/>
      <c r="G62" s="112"/>
      <c r="I62" s="110"/>
      <c r="J62" s="24"/>
      <c r="K62" s="110"/>
    </row>
    <row r="63" ht="15.75" customHeight="1">
      <c r="B63" s="173"/>
      <c r="D63" s="111"/>
      <c r="E63" s="111"/>
      <c r="F63" s="108"/>
      <c r="G63" s="112"/>
      <c r="I63" s="110"/>
      <c r="J63" s="24"/>
      <c r="K63" s="110"/>
    </row>
    <row r="64" ht="15.75" customHeight="1">
      <c r="B64" s="173"/>
      <c r="D64" s="111"/>
      <c r="E64" s="111"/>
      <c r="F64" s="108"/>
      <c r="G64" s="112"/>
      <c r="I64" s="110"/>
      <c r="K64" s="110"/>
    </row>
    <row r="65" ht="15.75" customHeight="1">
      <c r="B65" s="173"/>
      <c r="D65" s="111"/>
      <c r="E65" s="111"/>
      <c r="F65" s="108"/>
      <c r="G65" s="112"/>
      <c r="I65" s="110"/>
      <c r="K65" s="110"/>
    </row>
    <row r="66" ht="15.75" customHeight="1">
      <c r="B66" s="173"/>
      <c r="D66" s="111"/>
      <c r="E66" s="111"/>
      <c r="F66" s="108"/>
      <c r="G66" s="112"/>
      <c r="I66" s="110"/>
      <c r="K66" s="110"/>
    </row>
    <row r="67" ht="15.75" customHeight="1">
      <c r="B67" s="173"/>
      <c r="D67" s="111"/>
      <c r="E67" s="111"/>
      <c r="F67" s="108"/>
      <c r="G67" s="112"/>
      <c r="I67" s="110"/>
      <c r="K67" s="110"/>
    </row>
    <row r="68" ht="15.75" customHeight="1">
      <c r="B68" s="173"/>
      <c r="D68" s="111"/>
      <c r="E68" s="111"/>
      <c r="F68" s="108"/>
      <c r="G68" s="112"/>
      <c r="I68" s="110"/>
      <c r="K68" s="110"/>
    </row>
    <row r="69" ht="15.75" customHeight="1">
      <c r="B69" s="173"/>
      <c r="D69" s="111"/>
      <c r="E69" s="111"/>
      <c r="F69" s="108"/>
      <c r="G69" s="112"/>
      <c r="I69" s="110"/>
      <c r="K69" s="110"/>
    </row>
    <row r="70" ht="15.75" customHeight="1">
      <c r="B70" s="173"/>
      <c r="D70" s="111"/>
      <c r="E70" s="111"/>
      <c r="F70" s="108"/>
      <c r="G70" s="112"/>
      <c r="I70" s="110"/>
      <c r="K70" s="110"/>
    </row>
    <row r="71" ht="15.75" customHeight="1">
      <c r="B71" s="173"/>
      <c r="D71" s="111"/>
      <c r="E71" s="111"/>
      <c r="F71" s="108"/>
      <c r="G71" s="112"/>
      <c r="I71" s="110"/>
      <c r="K71" s="110"/>
    </row>
    <row r="72" ht="15.75" customHeight="1">
      <c r="B72" s="173"/>
      <c r="D72" s="111"/>
      <c r="E72" s="111"/>
      <c r="F72" s="108"/>
      <c r="G72" s="112"/>
      <c r="I72" s="110"/>
      <c r="K72" s="110"/>
    </row>
    <row r="73" ht="15.75" customHeight="1">
      <c r="B73" s="173"/>
      <c r="D73" s="111"/>
      <c r="E73" s="111"/>
      <c r="F73" s="108"/>
      <c r="G73" s="112"/>
      <c r="I73" s="110"/>
      <c r="K73" s="110"/>
    </row>
    <row r="74" ht="15.75" customHeight="1">
      <c r="B74" s="173"/>
      <c r="D74" s="111"/>
      <c r="E74" s="111"/>
      <c r="F74" s="108"/>
      <c r="G74" s="112"/>
      <c r="I74" s="110"/>
      <c r="K74" s="110"/>
    </row>
    <row r="75" ht="15.75" customHeight="1">
      <c r="B75" s="173"/>
      <c r="D75" s="111"/>
      <c r="E75" s="111"/>
      <c r="F75" s="108"/>
      <c r="G75" s="112"/>
      <c r="I75" s="110"/>
      <c r="K75" s="110"/>
    </row>
    <row r="76" ht="15.75" customHeight="1">
      <c r="B76" s="173"/>
      <c r="D76" s="111"/>
      <c r="E76" s="111"/>
      <c r="F76" s="108"/>
      <c r="G76" s="112"/>
      <c r="I76" s="110"/>
      <c r="K76" s="110"/>
    </row>
    <row r="77" ht="15.75" customHeight="1">
      <c r="B77" s="173"/>
      <c r="D77" s="111"/>
      <c r="E77" s="111"/>
      <c r="F77" s="108"/>
      <c r="G77" s="112"/>
      <c r="I77" s="110"/>
      <c r="K77" s="110"/>
    </row>
    <row r="78" ht="15.75" customHeight="1">
      <c r="B78" s="173"/>
      <c r="D78" s="111"/>
      <c r="E78" s="111"/>
      <c r="F78" s="108"/>
      <c r="G78" s="112"/>
      <c r="I78" s="110"/>
      <c r="K78" s="110"/>
    </row>
    <row r="79" ht="15.75" customHeight="1">
      <c r="B79" s="173"/>
      <c r="D79" s="111"/>
      <c r="E79" s="111"/>
      <c r="F79" s="108"/>
      <c r="G79" s="112"/>
      <c r="I79" s="110"/>
      <c r="K79" s="110"/>
    </row>
    <row r="80" ht="15.75" customHeight="1">
      <c r="B80" s="173"/>
      <c r="D80" s="111"/>
      <c r="E80" s="111"/>
      <c r="F80" s="108"/>
      <c r="G80" s="112"/>
      <c r="I80" s="110"/>
      <c r="K80" s="110"/>
    </row>
    <row r="81" ht="15.75" customHeight="1">
      <c r="B81" s="173"/>
      <c r="D81" s="111"/>
      <c r="E81" s="111"/>
      <c r="F81" s="108"/>
      <c r="G81" s="112"/>
      <c r="I81" s="110"/>
      <c r="K81" s="110"/>
    </row>
    <row r="82" ht="15.75" customHeight="1">
      <c r="B82" s="173"/>
      <c r="D82" s="111"/>
      <c r="E82" s="111"/>
      <c r="F82" s="108"/>
      <c r="G82" s="112"/>
      <c r="I82" s="110"/>
      <c r="K82" s="110"/>
    </row>
    <row r="83" ht="15.75" customHeight="1">
      <c r="B83" s="173"/>
      <c r="D83" s="111"/>
      <c r="E83" s="111"/>
      <c r="F83" s="108"/>
      <c r="G83" s="112"/>
      <c r="I83" s="110"/>
      <c r="K83" s="110"/>
    </row>
    <row r="84" ht="15.75" customHeight="1">
      <c r="B84" s="173"/>
      <c r="D84" s="111"/>
      <c r="E84" s="111"/>
      <c r="F84" s="108"/>
      <c r="G84" s="112"/>
      <c r="I84" s="110"/>
      <c r="K84" s="110"/>
    </row>
    <row r="85" ht="15.75" customHeight="1">
      <c r="B85" s="173"/>
      <c r="D85" s="111"/>
      <c r="E85" s="111"/>
      <c r="F85" s="108"/>
      <c r="G85" s="112"/>
      <c r="I85" s="110"/>
      <c r="K85" s="110"/>
    </row>
    <row r="86" ht="15.75" customHeight="1">
      <c r="B86" s="173"/>
      <c r="D86" s="111"/>
      <c r="E86" s="111"/>
      <c r="F86" s="108"/>
      <c r="G86" s="112"/>
      <c r="I86" s="110"/>
      <c r="K86" s="110"/>
    </row>
    <row r="87" ht="15.75" customHeight="1">
      <c r="B87" s="173"/>
      <c r="D87" s="111"/>
      <c r="E87" s="111"/>
      <c r="F87" s="108"/>
      <c r="G87" s="112"/>
      <c r="I87" s="110"/>
      <c r="K87" s="110"/>
    </row>
    <row r="88" ht="15.75" customHeight="1">
      <c r="B88" s="173"/>
      <c r="D88" s="111"/>
      <c r="E88" s="111"/>
      <c r="F88" s="108"/>
      <c r="G88" s="112"/>
      <c r="I88" s="110"/>
      <c r="K88" s="110"/>
    </row>
    <row r="89" ht="15.75" customHeight="1">
      <c r="B89" s="173"/>
      <c r="D89" s="111"/>
      <c r="E89" s="111"/>
      <c r="F89" s="108"/>
      <c r="G89" s="112"/>
      <c r="I89" s="110"/>
      <c r="K89" s="110"/>
    </row>
    <row r="90" ht="15.75" customHeight="1">
      <c r="B90" s="173"/>
      <c r="D90" s="111"/>
      <c r="E90" s="111"/>
      <c r="F90" s="108"/>
      <c r="G90" s="112"/>
      <c r="I90" s="110"/>
      <c r="K90" s="110"/>
    </row>
    <row r="91" ht="15.75" customHeight="1">
      <c r="B91" s="173"/>
      <c r="D91" s="111"/>
      <c r="E91" s="111"/>
      <c r="F91" s="108"/>
      <c r="G91" s="112"/>
      <c r="I91" s="110"/>
      <c r="K91" s="110"/>
    </row>
    <row r="92" ht="15.75" customHeight="1">
      <c r="B92" s="173"/>
      <c r="D92" s="111"/>
      <c r="E92" s="111"/>
      <c r="F92" s="108"/>
      <c r="G92" s="112"/>
      <c r="I92" s="110"/>
      <c r="K92" s="110"/>
    </row>
    <row r="93" ht="15.75" customHeight="1">
      <c r="B93" s="173"/>
      <c r="D93" s="111"/>
      <c r="E93" s="111"/>
      <c r="F93" s="108"/>
      <c r="G93" s="112"/>
      <c r="I93" s="110"/>
      <c r="K93" s="110"/>
    </row>
    <row r="94" ht="15.75" customHeight="1">
      <c r="B94" s="173"/>
      <c r="D94" s="111"/>
      <c r="E94" s="111"/>
      <c r="F94" s="108"/>
      <c r="G94" s="112"/>
      <c r="I94" s="110"/>
      <c r="K94" s="110"/>
    </row>
    <row r="95" ht="15.75" customHeight="1">
      <c r="B95" s="173"/>
      <c r="D95" s="111"/>
      <c r="E95" s="111"/>
      <c r="F95" s="108"/>
      <c r="G95" s="112"/>
      <c r="I95" s="110"/>
      <c r="K95" s="110"/>
    </row>
    <row r="96" ht="15.75" customHeight="1">
      <c r="B96" s="173"/>
      <c r="D96" s="111"/>
      <c r="E96" s="111"/>
      <c r="F96" s="108"/>
      <c r="G96" s="112"/>
      <c r="I96" s="110"/>
      <c r="K96" s="110"/>
    </row>
    <row r="97" ht="15.75" customHeight="1">
      <c r="B97" s="173"/>
      <c r="D97" s="111"/>
      <c r="E97" s="111"/>
      <c r="F97" s="108"/>
      <c r="G97" s="112"/>
      <c r="I97" s="110"/>
      <c r="K97" s="110"/>
    </row>
    <row r="98" ht="15.75" customHeight="1">
      <c r="B98" s="173"/>
      <c r="D98" s="111"/>
      <c r="E98" s="111"/>
      <c r="F98" s="108"/>
      <c r="G98" s="112"/>
      <c r="I98" s="110"/>
      <c r="K98" s="110"/>
    </row>
    <row r="99" ht="15.75" customHeight="1">
      <c r="B99" s="173"/>
      <c r="D99" s="111"/>
      <c r="E99" s="111"/>
      <c r="F99" s="108"/>
      <c r="G99" s="112"/>
      <c r="I99" s="110"/>
      <c r="K99" s="110"/>
    </row>
    <row r="100" ht="15.75" customHeight="1">
      <c r="B100" s="173"/>
      <c r="D100" s="111"/>
      <c r="E100" s="111"/>
      <c r="F100" s="108"/>
      <c r="G100" s="112"/>
      <c r="I100" s="110"/>
      <c r="K100" s="110"/>
    </row>
    <row r="101" ht="15.75" customHeight="1">
      <c r="B101" s="173"/>
      <c r="D101" s="111"/>
      <c r="E101" s="111"/>
      <c r="F101" s="108"/>
      <c r="G101" s="112"/>
      <c r="I101" s="110"/>
      <c r="K101" s="110"/>
    </row>
    <row r="102" ht="15.75" customHeight="1">
      <c r="B102" s="173"/>
      <c r="D102" s="111"/>
      <c r="E102" s="111"/>
      <c r="F102" s="108"/>
      <c r="G102" s="112"/>
      <c r="I102" s="110"/>
      <c r="K102" s="110"/>
    </row>
    <row r="103" ht="15.75" customHeight="1">
      <c r="B103" s="173"/>
      <c r="D103" s="111"/>
      <c r="E103" s="111"/>
      <c r="F103" s="108"/>
      <c r="G103" s="112"/>
      <c r="I103" s="110"/>
      <c r="K103" s="110"/>
    </row>
    <row r="104" ht="15.75" customHeight="1">
      <c r="B104" s="173"/>
      <c r="D104" s="111"/>
      <c r="E104" s="111"/>
      <c r="F104" s="108"/>
      <c r="G104" s="112"/>
      <c r="I104" s="110"/>
      <c r="K104" s="110"/>
    </row>
    <row r="105" ht="15.75" customHeight="1">
      <c r="B105" s="173"/>
      <c r="D105" s="111"/>
      <c r="E105" s="111"/>
      <c r="F105" s="108"/>
      <c r="G105" s="112"/>
      <c r="I105" s="110"/>
      <c r="K105" s="110"/>
    </row>
    <row r="106" ht="15.75" customHeight="1">
      <c r="B106" s="173"/>
      <c r="D106" s="111"/>
      <c r="E106" s="111"/>
      <c r="F106" s="108"/>
      <c r="G106" s="112"/>
      <c r="I106" s="110"/>
      <c r="K106" s="110"/>
    </row>
    <row r="107" ht="15.75" customHeight="1">
      <c r="B107" s="173"/>
      <c r="D107" s="111"/>
      <c r="E107" s="111"/>
      <c r="F107" s="108"/>
      <c r="G107" s="112"/>
      <c r="I107" s="110"/>
      <c r="K107" s="110"/>
    </row>
    <row r="108" ht="15.75" customHeight="1">
      <c r="B108" s="173"/>
      <c r="D108" s="111"/>
      <c r="E108" s="111"/>
      <c r="F108" s="108"/>
      <c r="G108" s="112"/>
      <c r="I108" s="110"/>
      <c r="K108" s="110"/>
    </row>
    <row r="109" ht="15.75" customHeight="1">
      <c r="B109" s="173"/>
      <c r="D109" s="111"/>
      <c r="E109" s="111"/>
      <c r="F109" s="108"/>
      <c r="G109" s="112"/>
      <c r="I109" s="110"/>
      <c r="K109" s="110"/>
    </row>
    <row r="110" ht="15.75" customHeight="1">
      <c r="B110" s="173"/>
      <c r="D110" s="111"/>
      <c r="E110" s="111"/>
      <c r="F110" s="108"/>
      <c r="G110" s="112"/>
      <c r="I110" s="110"/>
      <c r="K110" s="110"/>
    </row>
    <row r="111" ht="15.75" customHeight="1">
      <c r="B111" s="173"/>
      <c r="D111" s="111"/>
      <c r="E111" s="111"/>
      <c r="F111" s="108"/>
      <c r="G111" s="112"/>
      <c r="I111" s="110"/>
      <c r="K111" s="110"/>
    </row>
    <row r="112" ht="15.75" customHeight="1">
      <c r="B112" s="173"/>
      <c r="D112" s="111"/>
      <c r="E112" s="111"/>
      <c r="F112" s="108"/>
      <c r="G112" s="112"/>
      <c r="I112" s="110"/>
      <c r="K112" s="110"/>
    </row>
    <row r="113" ht="15.75" customHeight="1">
      <c r="B113" s="173"/>
      <c r="D113" s="111"/>
      <c r="E113" s="111"/>
      <c r="F113" s="108"/>
      <c r="G113" s="112"/>
      <c r="I113" s="110"/>
      <c r="K113" s="110"/>
    </row>
    <row r="114" ht="15.75" customHeight="1">
      <c r="B114" s="173"/>
      <c r="D114" s="111"/>
      <c r="E114" s="111"/>
      <c r="F114" s="108"/>
      <c r="G114" s="112"/>
      <c r="I114" s="110"/>
      <c r="K114" s="110"/>
    </row>
    <row r="115" ht="15.75" customHeight="1">
      <c r="B115" s="173"/>
      <c r="D115" s="111"/>
      <c r="E115" s="111"/>
      <c r="F115" s="108"/>
      <c r="G115" s="112"/>
      <c r="I115" s="110"/>
      <c r="K115" s="110"/>
    </row>
    <row r="116" ht="15.75" customHeight="1">
      <c r="B116" s="173"/>
      <c r="D116" s="111"/>
      <c r="E116" s="111"/>
      <c r="F116" s="108"/>
      <c r="G116" s="112"/>
      <c r="I116" s="110"/>
      <c r="K116" s="110"/>
    </row>
    <row r="117" ht="15.75" customHeight="1">
      <c r="B117" s="173"/>
      <c r="D117" s="111"/>
      <c r="E117" s="111"/>
      <c r="F117" s="108"/>
      <c r="G117" s="112"/>
      <c r="I117" s="110"/>
      <c r="K117" s="110"/>
    </row>
    <row r="118" ht="15.75" customHeight="1">
      <c r="B118" s="173"/>
      <c r="D118" s="111"/>
      <c r="E118" s="111"/>
      <c r="F118" s="108"/>
      <c r="G118" s="112"/>
      <c r="I118" s="110"/>
      <c r="K118" s="110"/>
    </row>
    <row r="119" ht="15.75" customHeight="1">
      <c r="B119" s="173"/>
      <c r="D119" s="111"/>
      <c r="E119" s="111"/>
      <c r="F119" s="108"/>
      <c r="G119" s="112"/>
      <c r="I119" s="110"/>
      <c r="K119" s="110"/>
    </row>
    <row r="120" ht="15.75" customHeight="1">
      <c r="B120" s="173"/>
      <c r="D120" s="111"/>
      <c r="E120" s="111"/>
      <c r="F120" s="108"/>
      <c r="G120" s="112"/>
      <c r="I120" s="110"/>
      <c r="K120" s="110"/>
    </row>
    <row r="121" ht="15.75" customHeight="1">
      <c r="B121" s="173"/>
      <c r="D121" s="111"/>
      <c r="E121" s="111"/>
      <c r="F121" s="108"/>
      <c r="G121" s="112"/>
      <c r="I121" s="110"/>
      <c r="K121" s="110"/>
    </row>
    <row r="122" ht="15.75" customHeight="1">
      <c r="B122" s="173"/>
      <c r="D122" s="111"/>
      <c r="E122" s="111"/>
      <c r="F122" s="108"/>
      <c r="G122" s="112"/>
      <c r="I122" s="110"/>
      <c r="K122" s="110"/>
    </row>
    <row r="123" ht="15.75" customHeight="1">
      <c r="B123" s="173"/>
      <c r="D123" s="111"/>
      <c r="E123" s="111"/>
      <c r="F123" s="108"/>
      <c r="G123" s="112"/>
      <c r="I123" s="110"/>
      <c r="K123" s="110"/>
    </row>
    <row r="124" ht="15.75" customHeight="1">
      <c r="B124" s="173"/>
      <c r="D124" s="111"/>
      <c r="E124" s="111"/>
      <c r="F124" s="108"/>
      <c r="G124" s="112"/>
      <c r="I124" s="110"/>
      <c r="K124" s="110"/>
    </row>
    <row r="125" ht="15.75" customHeight="1">
      <c r="B125" s="173"/>
      <c r="D125" s="111"/>
      <c r="E125" s="111"/>
      <c r="F125" s="108"/>
      <c r="G125" s="112"/>
      <c r="I125" s="110"/>
      <c r="K125" s="110"/>
    </row>
    <row r="126" ht="15.75" customHeight="1">
      <c r="B126" s="173"/>
      <c r="D126" s="111"/>
      <c r="E126" s="111"/>
      <c r="F126" s="108"/>
      <c r="G126" s="112"/>
      <c r="I126" s="110"/>
      <c r="K126" s="110"/>
    </row>
    <row r="127" ht="15.75" customHeight="1">
      <c r="B127" s="173"/>
      <c r="D127" s="111"/>
      <c r="E127" s="111"/>
      <c r="F127" s="108"/>
      <c r="G127" s="112"/>
      <c r="I127" s="110"/>
      <c r="K127" s="110"/>
    </row>
    <row r="128" ht="15.75" customHeight="1">
      <c r="B128" s="173"/>
      <c r="D128" s="111"/>
      <c r="E128" s="111"/>
      <c r="F128" s="108"/>
      <c r="G128" s="112"/>
      <c r="I128" s="110"/>
      <c r="K128" s="110"/>
    </row>
    <row r="129" ht="15.75" customHeight="1">
      <c r="B129" s="173"/>
      <c r="D129" s="111"/>
      <c r="E129" s="111"/>
      <c r="F129" s="108"/>
      <c r="G129" s="112"/>
      <c r="I129" s="110"/>
      <c r="K129" s="110"/>
    </row>
    <row r="130" ht="15.75" customHeight="1">
      <c r="B130" s="173"/>
      <c r="D130" s="111"/>
      <c r="E130" s="111"/>
      <c r="F130" s="108"/>
      <c r="G130" s="112"/>
      <c r="I130" s="110"/>
      <c r="K130" s="110"/>
    </row>
    <row r="131" ht="15.75" customHeight="1">
      <c r="B131" s="173"/>
      <c r="D131" s="111"/>
      <c r="E131" s="111"/>
      <c r="F131" s="108"/>
      <c r="G131" s="112"/>
      <c r="I131" s="110"/>
      <c r="K131" s="110"/>
    </row>
    <row r="132" ht="15.75" customHeight="1">
      <c r="B132" s="173"/>
      <c r="D132" s="111"/>
      <c r="E132" s="111"/>
      <c r="F132" s="108"/>
      <c r="G132" s="112"/>
      <c r="I132" s="110"/>
      <c r="K132" s="110"/>
    </row>
    <row r="133" ht="15.75" customHeight="1">
      <c r="B133" s="173"/>
      <c r="D133" s="111"/>
      <c r="E133" s="111"/>
      <c r="F133" s="108"/>
      <c r="G133" s="112"/>
      <c r="I133" s="110"/>
      <c r="K133" s="110"/>
    </row>
    <row r="134" ht="15.75" customHeight="1">
      <c r="B134" s="173"/>
      <c r="D134" s="111"/>
      <c r="E134" s="111"/>
      <c r="F134" s="108"/>
      <c r="G134" s="112"/>
      <c r="I134" s="110"/>
      <c r="K134" s="110"/>
    </row>
    <row r="135" ht="15.75" customHeight="1">
      <c r="B135" s="173"/>
      <c r="D135" s="111"/>
      <c r="E135" s="111"/>
      <c r="F135" s="108"/>
      <c r="G135" s="112"/>
      <c r="I135" s="110"/>
      <c r="K135" s="110"/>
    </row>
    <row r="136" ht="15.75" customHeight="1">
      <c r="B136" s="173"/>
      <c r="D136" s="111"/>
      <c r="E136" s="111"/>
      <c r="F136" s="108"/>
      <c r="G136" s="112"/>
      <c r="I136" s="110"/>
      <c r="K136" s="110"/>
    </row>
    <row r="137" ht="15.75" customHeight="1">
      <c r="B137" s="173"/>
      <c r="D137" s="111"/>
      <c r="E137" s="111"/>
      <c r="F137" s="108"/>
      <c r="G137" s="112"/>
      <c r="I137" s="110"/>
      <c r="K137" s="110"/>
    </row>
    <row r="138" ht="15.75" customHeight="1">
      <c r="B138" s="173"/>
      <c r="D138" s="111"/>
      <c r="E138" s="111"/>
      <c r="F138" s="108"/>
      <c r="G138" s="112"/>
      <c r="I138" s="110"/>
      <c r="K138" s="110"/>
    </row>
    <row r="139" ht="15.75" customHeight="1">
      <c r="B139" s="173"/>
      <c r="D139" s="111"/>
      <c r="E139" s="111"/>
      <c r="F139" s="108"/>
      <c r="G139" s="112"/>
      <c r="I139" s="110"/>
      <c r="K139" s="110"/>
    </row>
    <row r="140" ht="15.75" customHeight="1">
      <c r="B140" s="173"/>
      <c r="D140" s="111"/>
      <c r="E140" s="111"/>
      <c r="F140" s="108"/>
      <c r="G140" s="112"/>
      <c r="I140" s="110"/>
      <c r="K140" s="110"/>
    </row>
    <row r="141" ht="15.75" customHeight="1">
      <c r="B141" s="173"/>
      <c r="D141" s="111"/>
      <c r="E141" s="111"/>
      <c r="F141" s="108"/>
      <c r="G141" s="112"/>
      <c r="I141" s="110"/>
      <c r="K141" s="110"/>
    </row>
    <row r="142" ht="15.75" customHeight="1">
      <c r="B142" s="173"/>
      <c r="D142" s="111"/>
      <c r="E142" s="111"/>
      <c r="F142" s="108"/>
      <c r="G142" s="112"/>
      <c r="I142" s="110"/>
      <c r="K142" s="110"/>
    </row>
    <row r="143" ht="15.75" customHeight="1">
      <c r="B143" s="173"/>
      <c r="D143" s="111"/>
      <c r="E143" s="111"/>
      <c r="F143" s="108"/>
      <c r="G143" s="112"/>
      <c r="I143" s="110"/>
      <c r="K143" s="110"/>
    </row>
    <row r="144" ht="15.75" customHeight="1">
      <c r="B144" s="173"/>
      <c r="D144" s="111"/>
      <c r="E144" s="111"/>
      <c r="F144" s="108"/>
      <c r="G144" s="112"/>
      <c r="I144" s="110"/>
      <c r="K144" s="110"/>
    </row>
    <row r="145" ht="15.75" customHeight="1">
      <c r="B145" s="173"/>
      <c r="D145" s="111"/>
      <c r="E145" s="111"/>
      <c r="F145" s="108"/>
      <c r="G145" s="112"/>
      <c r="I145" s="110"/>
      <c r="K145" s="110"/>
    </row>
    <row r="146" ht="15.75" customHeight="1">
      <c r="B146" s="173"/>
      <c r="D146" s="111"/>
      <c r="E146" s="111"/>
      <c r="F146" s="108"/>
      <c r="G146" s="112"/>
      <c r="I146" s="110"/>
      <c r="K146" s="110"/>
    </row>
    <row r="147" ht="15.75" customHeight="1">
      <c r="B147" s="173"/>
      <c r="D147" s="111"/>
      <c r="E147" s="111"/>
      <c r="F147" s="108"/>
      <c r="G147" s="112"/>
      <c r="I147" s="110"/>
      <c r="K147" s="110"/>
    </row>
    <row r="148" ht="15.75" customHeight="1">
      <c r="B148" s="173"/>
      <c r="D148" s="111"/>
      <c r="E148" s="111"/>
      <c r="F148" s="108"/>
      <c r="G148" s="112"/>
      <c r="I148" s="110"/>
      <c r="K148" s="110"/>
    </row>
    <row r="149" ht="15.75" customHeight="1">
      <c r="B149" s="173"/>
      <c r="D149" s="111"/>
      <c r="E149" s="111"/>
      <c r="F149" s="108"/>
      <c r="G149" s="112"/>
      <c r="I149" s="110"/>
      <c r="K149" s="110"/>
    </row>
    <row r="150" ht="15.75" customHeight="1">
      <c r="B150" s="173"/>
      <c r="D150" s="111"/>
      <c r="E150" s="111"/>
      <c r="F150" s="108"/>
      <c r="G150" s="112"/>
      <c r="I150" s="110"/>
      <c r="K150" s="110"/>
    </row>
    <row r="151" ht="15.75" customHeight="1">
      <c r="B151" s="173"/>
      <c r="D151" s="111"/>
      <c r="E151" s="111"/>
      <c r="F151" s="108"/>
      <c r="G151" s="112"/>
      <c r="I151" s="110"/>
      <c r="K151" s="110"/>
    </row>
    <row r="152" ht="15.75" customHeight="1">
      <c r="B152" s="173"/>
      <c r="D152" s="111"/>
      <c r="E152" s="111"/>
      <c r="F152" s="108"/>
      <c r="G152" s="112"/>
      <c r="I152" s="110"/>
      <c r="K152" s="110"/>
    </row>
    <row r="153" ht="15.75" customHeight="1">
      <c r="B153" s="173"/>
      <c r="D153" s="111"/>
      <c r="E153" s="111"/>
      <c r="F153" s="108"/>
      <c r="G153" s="112"/>
      <c r="I153" s="110"/>
      <c r="K153" s="110"/>
    </row>
    <row r="154" ht="15.75" customHeight="1">
      <c r="B154" s="173"/>
      <c r="D154" s="111"/>
      <c r="E154" s="111"/>
      <c r="F154" s="108"/>
      <c r="G154" s="112"/>
      <c r="I154" s="110"/>
      <c r="K154" s="110"/>
    </row>
    <row r="155" ht="15.75" customHeight="1">
      <c r="B155" s="173"/>
      <c r="D155" s="111"/>
      <c r="E155" s="111"/>
      <c r="F155" s="108"/>
      <c r="G155" s="112"/>
      <c r="I155" s="110"/>
      <c r="K155" s="110"/>
    </row>
    <row r="156" ht="15.75" customHeight="1">
      <c r="B156" s="173"/>
      <c r="D156" s="111"/>
      <c r="E156" s="111"/>
      <c r="F156" s="108"/>
      <c r="G156" s="112"/>
      <c r="I156" s="110"/>
      <c r="K156" s="110"/>
    </row>
    <row r="157" ht="15.75" customHeight="1">
      <c r="B157" s="173"/>
      <c r="D157" s="111"/>
      <c r="E157" s="111"/>
      <c r="F157" s="108"/>
      <c r="G157" s="112"/>
      <c r="I157" s="110"/>
      <c r="K157" s="110"/>
    </row>
    <row r="158" ht="15.75" customHeight="1">
      <c r="B158" s="173"/>
      <c r="D158" s="111"/>
      <c r="E158" s="111"/>
      <c r="F158" s="108"/>
      <c r="G158" s="112"/>
      <c r="I158" s="110"/>
      <c r="K158" s="110"/>
    </row>
    <row r="159" ht="15.75" customHeight="1">
      <c r="B159" s="173"/>
      <c r="D159" s="111"/>
      <c r="E159" s="111"/>
      <c r="F159" s="108"/>
      <c r="G159" s="112"/>
      <c r="I159" s="110"/>
      <c r="K159" s="110"/>
    </row>
    <row r="160" ht="15.75" customHeight="1">
      <c r="B160" s="173"/>
      <c r="D160" s="111"/>
      <c r="E160" s="111"/>
      <c r="F160" s="108"/>
      <c r="G160" s="112"/>
      <c r="I160" s="110"/>
      <c r="K160" s="110"/>
    </row>
    <row r="161" ht="15.75" customHeight="1">
      <c r="B161" s="173"/>
      <c r="D161" s="111"/>
      <c r="E161" s="111"/>
      <c r="F161" s="108"/>
      <c r="G161" s="112"/>
      <c r="I161" s="110"/>
      <c r="K161" s="110"/>
    </row>
    <row r="162" ht="15.75" customHeight="1">
      <c r="B162" s="173"/>
      <c r="D162" s="111"/>
      <c r="E162" s="111"/>
      <c r="F162" s="108"/>
      <c r="G162" s="112"/>
      <c r="I162" s="110"/>
      <c r="K162" s="110"/>
    </row>
    <row r="163" ht="15.75" customHeight="1">
      <c r="B163" s="173"/>
      <c r="D163" s="111"/>
      <c r="E163" s="111"/>
      <c r="F163" s="108"/>
      <c r="G163" s="112"/>
      <c r="I163" s="110"/>
      <c r="K163" s="110"/>
    </row>
    <row r="164" ht="15.75" customHeight="1">
      <c r="B164" s="173"/>
      <c r="D164" s="111"/>
      <c r="E164" s="111"/>
      <c r="F164" s="108"/>
      <c r="G164" s="112"/>
      <c r="I164" s="110"/>
      <c r="K164" s="110"/>
    </row>
    <row r="165" ht="15.75" customHeight="1">
      <c r="B165" s="173"/>
      <c r="D165" s="111"/>
      <c r="E165" s="111"/>
      <c r="F165" s="108"/>
      <c r="G165" s="112"/>
      <c r="I165" s="110"/>
      <c r="K165" s="110"/>
    </row>
    <row r="166" ht="15.75" customHeight="1">
      <c r="B166" s="173"/>
      <c r="D166" s="111"/>
      <c r="E166" s="111"/>
      <c r="F166" s="108"/>
      <c r="G166" s="112"/>
      <c r="I166" s="110"/>
      <c r="K166" s="110"/>
    </row>
    <row r="167" ht="15.75" customHeight="1">
      <c r="B167" s="173"/>
      <c r="D167" s="111"/>
      <c r="E167" s="111"/>
      <c r="F167" s="108"/>
      <c r="G167" s="112"/>
      <c r="I167" s="110"/>
      <c r="K167" s="110"/>
    </row>
    <row r="168" ht="15.75" customHeight="1">
      <c r="B168" s="173"/>
      <c r="D168" s="111"/>
      <c r="E168" s="111"/>
      <c r="F168" s="108"/>
      <c r="G168" s="112"/>
      <c r="I168" s="110"/>
      <c r="K168" s="110"/>
    </row>
    <row r="169" ht="15.75" customHeight="1">
      <c r="B169" s="173"/>
      <c r="D169" s="111"/>
      <c r="E169" s="111"/>
      <c r="F169" s="108"/>
      <c r="G169" s="112"/>
      <c r="I169" s="110"/>
      <c r="K169" s="110"/>
    </row>
    <row r="170" ht="15.75" customHeight="1">
      <c r="B170" s="173"/>
      <c r="D170" s="111"/>
      <c r="E170" s="111"/>
      <c r="F170" s="108"/>
      <c r="G170" s="112"/>
      <c r="I170" s="110"/>
      <c r="K170" s="110"/>
    </row>
    <row r="171" ht="15.75" customHeight="1">
      <c r="B171" s="173"/>
      <c r="D171" s="111"/>
      <c r="E171" s="111"/>
      <c r="F171" s="108"/>
      <c r="G171" s="112"/>
      <c r="I171" s="110"/>
      <c r="K171" s="110"/>
    </row>
    <row r="172" ht="15.75" customHeight="1">
      <c r="B172" s="173"/>
      <c r="D172" s="111"/>
      <c r="E172" s="111"/>
      <c r="F172" s="108"/>
      <c r="G172" s="112"/>
      <c r="I172" s="110"/>
      <c r="K172" s="110"/>
    </row>
    <row r="173" ht="15.75" customHeight="1">
      <c r="B173" s="173"/>
      <c r="D173" s="111"/>
      <c r="E173" s="111"/>
      <c r="F173" s="108"/>
      <c r="G173" s="112"/>
      <c r="I173" s="110"/>
      <c r="K173" s="110"/>
    </row>
    <row r="174" ht="15.75" customHeight="1">
      <c r="B174" s="173"/>
      <c r="D174" s="111"/>
      <c r="E174" s="111"/>
      <c r="F174" s="108"/>
      <c r="G174" s="112"/>
      <c r="I174" s="110"/>
      <c r="K174" s="110"/>
    </row>
    <row r="175" ht="15.75" customHeight="1">
      <c r="B175" s="173"/>
      <c r="D175" s="111"/>
      <c r="E175" s="111"/>
      <c r="F175" s="108"/>
      <c r="G175" s="112"/>
      <c r="I175" s="110"/>
      <c r="K175" s="110"/>
    </row>
    <row r="176" ht="15.75" customHeight="1">
      <c r="B176" s="173"/>
      <c r="D176" s="111"/>
      <c r="E176" s="111"/>
      <c r="F176" s="108"/>
      <c r="G176" s="112"/>
      <c r="I176" s="110"/>
      <c r="K176" s="110"/>
    </row>
    <row r="177" ht="15.75" customHeight="1">
      <c r="B177" s="173"/>
      <c r="D177" s="111"/>
      <c r="E177" s="111"/>
      <c r="F177" s="108"/>
      <c r="G177" s="112"/>
      <c r="I177" s="110"/>
      <c r="K177" s="110"/>
    </row>
    <row r="178" ht="15.75" customHeight="1">
      <c r="B178" s="173"/>
      <c r="D178" s="111"/>
      <c r="E178" s="111"/>
      <c r="F178" s="108"/>
      <c r="G178" s="112"/>
      <c r="I178" s="110"/>
      <c r="K178" s="110"/>
    </row>
    <row r="179" ht="15.75" customHeight="1">
      <c r="B179" s="173"/>
      <c r="D179" s="111"/>
      <c r="E179" s="111"/>
      <c r="F179" s="108"/>
      <c r="G179" s="112"/>
      <c r="I179" s="110"/>
      <c r="K179" s="110"/>
    </row>
    <row r="180" ht="15.75" customHeight="1">
      <c r="B180" s="173"/>
      <c r="D180" s="111"/>
      <c r="E180" s="111"/>
      <c r="F180" s="108"/>
      <c r="G180" s="112"/>
      <c r="I180" s="110"/>
      <c r="K180" s="110"/>
    </row>
    <row r="181" ht="15.75" customHeight="1">
      <c r="B181" s="173"/>
      <c r="D181" s="111"/>
      <c r="E181" s="111"/>
      <c r="F181" s="108"/>
      <c r="G181" s="112"/>
      <c r="I181" s="110"/>
      <c r="K181" s="110"/>
    </row>
    <row r="182" ht="15.75" customHeight="1">
      <c r="B182" s="173"/>
      <c r="D182" s="111"/>
      <c r="E182" s="111"/>
      <c r="F182" s="108"/>
      <c r="G182" s="112"/>
      <c r="I182" s="110"/>
      <c r="K182" s="110"/>
    </row>
    <row r="183" ht="15.75" customHeight="1">
      <c r="B183" s="173"/>
      <c r="D183" s="111"/>
      <c r="E183" s="111"/>
      <c r="F183" s="108"/>
      <c r="G183" s="112"/>
      <c r="I183" s="110"/>
      <c r="K183" s="110"/>
    </row>
    <row r="184" ht="15.75" customHeight="1">
      <c r="B184" s="173"/>
      <c r="D184" s="111"/>
      <c r="E184" s="111"/>
      <c r="F184" s="108"/>
      <c r="G184" s="112"/>
      <c r="I184" s="110"/>
      <c r="K184" s="110"/>
    </row>
    <row r="185" ht="15.75" customHeight="1">
      <c r="B185" s="173"/>
      <c r="D185" s="111"/>
      <c r="E185" s="111"/>
      <c r="F185" s="108"/>
      <c r="G185" s="112"/>
      <c r="I185" s="110"/>
      <c r="K185" s="110"/>
    </row>
    <row r="186" ht="15.75" customHeight="1">
      <c r="B186" s="173"/>
      <c r="D186" s="111"/>
      <c r="E186" s="111"/>
      <c r="F186" s="108"/>
      <c r="G186" s="112"/>
      <c r="I186" s="110"/>
      <c r="K186" s="110"/>
    </row>
    <row r="187" ht="15.75" customHeight="1">
      <c r="B187" s="173"/>
      <c r="D187" s="111"/>
      <c r="E187" s="111"/>
      <c r="F187" s="108"/>
      <c r="G187" s="112"/>
      <c r="I187" s="110"/>
      <c r="K187" s="110"/>
    </row>
    <row r="188" ht="15.75" customHeight="1">
      <c r="B188" s="173"/>
      <c r="D188" s="111"/>
      <c r="E188" s="111"/>
      <c r="F188" s="108"/>
      <c r="G188" s="112"/>
      <c r="I188" s="110"/>
      <c r="K188" s="110"/>
    </row>
    <row r="189" ht="15.75" customHeight="1">
      <c r="B189" s="173"/>
      <c r="D189" s="111"/>
      <c r="E189" s="111"/>
      <c r="F189" s="108"/>
      <c r="G189" s="112"/>
      <c r="I189" s="110"/>
      <c r="K189" s="110"/>
    </row>
    <row r="190" ht="15.75" customHeight="1">
      <c r="B190" s="173"/>
      <c r="D190" s="111"/>
      <c r="E190" s="111"/>
      <c r="F190" s="108"/>
      <c r="G190" s="112"/>
      <c r="I190" s="110"/>
      <c r="K190" s="110"/>
    </row>
    <row r="191" ht="15.75" customHeight="1">
      <c r="B191" s="173"/>
      <c r="D191" s="111"/>
      <c r="E191" s="111"/>
      <c r="F191" s="108"/>
      <c r="G191" s="112"/>
      <c r="I191" s="110"/>
      <c r="K191" s="110"/>
    </row>
    <row r="192" ht="15.75" customHeight="1">
      <c r="B192" s="173"/>
      <c r="D192" s="111"/>
      <c r="E192" s="111"/>
      <c r="F192" s="108"/>
      <c r="G192" s="112"/>
      <c r="I192" s="110"/>
      <c r="K192" s="110"/>
    </row>
    <row r="193" ht="15.75" customHeight="1">
      <c r="B193" s="173"/>
      <c r="D193" s="111"/>
      <c r="E193" s="111"/>
      <c r="F193" s="108"/>
      <c r="G193" s="112"/>
      <c r="I193" s="110"/>
      <c r="K193" s="110"/>
    </row>
    <row r="194" ht="15.75" customHeight="1">
      <c r="B194" s="173"/>
      <c r="D194" s="111"/>
      <c r="E194" s="111"/>
      <c r="F194" s="108"/>
      <c r="G194" s="112"/>
      <c r="I194" s="110"/>
      <c r="K194" s="110"/>
    </row>
    <row r="195" ht="15.75" customHeight="1">
      <c r="B195" s="173"/>
      <c r="D195" s="111"/>
      <c r="E195" s="111"/>
      <c r="F195" s="108"/>
      <c r="G195" s="112"/>
      <c r="I195" s="110"/>
      <c r="K195" s="110"/>
    </row>
    <row r="196" ht="15.75" customHeight="1">
      <c r="B196" s="173"/>
      <c r="D196" s="111"/>
      <c r="E196" s="111"/>
      <c r="F196" s="108"/>
      <c r="G196" s="112"/>
      <c r="I196" s="110"/>
      <c r="K196" s="110"/>
    </row>
    <row r="197" ht="15.75" customHeight="1">
      <c r="B197" s="173"/>
      <c r="D197" s="111"/>
      <c r="E197" s="111"/>
      <c r="F197" s="108"/>
      <c r="G197" s="112"/>
      <c r="I197" s="110"/>
      <c r="K197" s="110"/>
    </row>
    <row r="198" ht="15.75" customHeight="1">
      <c r="B198" s="173"/>
      <c r="D198" s="111"/>
      <c r="E198" s="111"/>
      <c r="F198" s="108"/>
      <c r="G198" s="112"/>
      <c r="I198" s="110"/>
      <c r="K198" s="110"/>
    </row>
    <row r="199" ht="15.75" customHeight="1">
      <c r="B199" s="173"/>
      <c r="D199" s="111"/>
      <c r="E199" s="111"/>
      <c r="F199" s="108"/>
      <c r="G199" s="112"/>
      <c r="I199" s="110"/>
      <c r="K199" s="110"/>
    </row>
    <row r="200" ht="15.75" customHeight="1">
      <c r="B200" s="173"/>
      <c r="D200" s="111"/>
      <c r="E200" s="111"/>
      <c r="F200" s="108"/>
      <c r="G200" s="112"/>
      <c r="I200" s="110"/>
      <c r="K200" s="110"/>
    </row>
    <row r="201" ht="15.75" customHeight="1">
      <c r="B201" s="173"/>
      <c r="D201" s="111"/>
      <c r="E201" s="111"/>
      <c r="F201" s="108"/>
      <c r="G201" s="112"/>
      <c r="I201" s="110"/>
      <c r="K201" s="110"/>
    </row>
    <row r="202" ht="15.75" customHeight="1">
      <c r="B202" s="173"/>
      <c r="D202" s="111"/>
      <c r="E202" s="111"/>
      <c r="F202" s="108"/>
      <c r="G202" s="112"/>
      <c r="I202" s="110"/>
      <c r="K202" s="110"/>
    </row>
    <row r="203" ht="15.75" customHeight="1">
      <c r="B203" s="173"/>
      <c r="D203" s="111"/>
      <c r="E203" s="111"/>
      <c r="F203" s="108"/>
      <c r="G203" s="112"/>
      <c r="I203" s="110"/>
      <c r="K203" s="110"/>
    </row>
    <row r="204" ht="15.75" customHeight="1">
      <c r="B204" s="173"/>
      <c r="D204" s="111"/>
      <c r="E204" s="111"/>
      <c r="F204" s="108"/>
      <c r="G204" s="112"/>
      <c r="I204" s="110"/>
      <c r="K204" s="110"/>
    </row>
    <row r="205" ht="15.75" customHeight="1">
      <c r="B205" s="173"/>
      <c r="D205" s="111"/>
      <c r="E205" s="111"/>
      <c r="F205" s="108"/>
      <c r="G205" s="112"/>
      <c r="I205" s="110"/>
      <c r="K205" s="110"/>
    </row>
    <row r="206" ht="15.75" customHeight="1">
      <c r="B206" s="173"/>
      <c r="D206" s="111"/>
      <c r="E206" s="111"/>
      <c r="F206" s="108"/>
      <c r="G206" s="112"/>
      <c r="I206" s="110"/>
      <c r="K206" s="110"/>
    </row>
    <row r="207" ht="15.75" customHeight="1">
      <c r="B207" s="173"/>
      <c r="D207" s="111"/>
      <c r="E207" s="111"/>
      <c r="F207" s="108"/>
      <c r="G207" s="112"/>
      <c r="I207" s="110"/>
      <c r="K207" s="110"/>
    </row>
    <row r="208" ht="15.75" customHeight="1">
      <c r="B208" s="173"/>
      <c r="D208" s="111"/>
      <c r="E208" s="111"/>
      <c r="F208" s="108"/>
      <c r="G208" s="112"/>
      <c r="I208" s="110"/>
      <c r="K208" s="110"/>
    </row>
    <row r="209" ht="15.75" customHeight="1">
      <c r="B209" s="173"/>
      <c r="D209" s="111"/>
      <c r="E209" s="111"/>
      <c r="F209" s="108"/>
      <c r="G209" s="112"/>
      <c r="I209" s="110"/>
      <c r="K209" s="110"/>
    </row>
    <row r="210" ht="15.75" customHeight="1">
      <c r="B210" s="173"/>
      <c r="D210" s="111"/>
      <c r="E210" s="111"/>
      <c r="F210" s="108"/>
      <c r="G210" s="112"/>
      <c r="I210" s="110"/>
      <c r="K210" s="110"/>
    </row>
    <row r="211" ht="15.75" customHeight="1">
      <c r="B211" s="173"/>
      <c r="D211" s="111"/>
      <c r="E211" s="111"/>
      <c r="F211" s="108"/>
      <c r="G211" s="112"/>
      <c r="I211" s="110"/>
      <c r="K211" s="110"/>
    </row>
    <row r="212" ht="15.75" customHeight="1">
      <c r="B212" s="173"/>
      <c r="D212" s="111"/>
      <c r="E212" s="111"/>
      <c r="F212" s="108"/>
      <c r="G212" s="112"/>
      <c r="I212" s="110"/>
      <c r="K212" s="110"/>
    </row>
    <row r="213" ht="15.75" customHeight="1">
      <c r="B213" s="173"/>
      <c r="D213" s="111"/>
      <c r="E213" s="111"/>
      <c r="F213" s="108"/>
      <c r="G213" s="112"/>
      <c r="I213" s="110"/>
      <c r="K213" s="110"/>
    </row>
    <row r="214" ht="15.75" customHeight="1">
      <c r="B214" s="173"/>
      <c r="D214" s="111"/>
      <c r="E214" s="111"/>
      <c r="F214" s="108"/>
      <c r="G214" s="112"/>
      <c r="I214" s="110"/>
      <c r="K214" s="110"/>
    </row>
    <row r="215" ht="15.75" customHeight="1">
      <c r="B215" s="173"/>
      <c r="D215" s="111"/>
      <c r="E215" s="111"/>
      <c r="F215" s="108"/>
      <c r="G215" s="112"/>
      <c r="I215" s="110"/>
      <c r="K215" s="110"/>
    </row>
    <row r="216" ht="15.75" customHeight="1">
      <c r="B216" s="173"/>
      <c r="D216" s="111"/>
      <c r="E216" s="111"/>
      <c r="F216" s="108"/>
      <c r="G216" s="112"/>
      <c r="I216" s="110"/>
      <c r="K216" s="110"/>
    </row>
    <row r="217" ht="15.75" customHeight="1">
      <c r="B217" s="173"/>
      <c r="D217" s="111"/>
      <c r="E217" s="111"/>
      <c r="F217" s="108"/>
      <c r="G217" s="112"/>
      <c r="I217" s="110"/>
      <c r="K217" s="110"/>
    </row>
    <row r="218" ht="15.75" customHeight="1">
      <c r="B218" s="173"/>
      <c r="D218" s="111"/>
      <c r="E218" s="111"/>
      <c r="F218" s="108"/>
      <c r="G218" s="112"/>
      <c r="I218" s="110"/>
      <c r="K218" s="110"/>
    </row>
    <row r="219" ht="15.75" customHeight="1">
      <c r="B219" s="173"/>
      <c r="D219" s="111"/>
      <c r="E219" s="111"/>
      <c r="F219" s="108"/>
      <c r="G219" s="112"/>
      <c r="I219" s="110"/>
      <c r="K219" s="110"/>
    </row>
    <row r="220" ht="15.75" customHeight="1">
      <c r="B220" s="173"/>
      <c r="D220" s="111"/>
      <c r="E220" s="111"/>
      <c r="F220" s="108"/>
      <c r="G220" s="112"/>
      <c r="I220" s="110"/>
      <c r="K220" s="110"/>
    </row>
    <row r="221" ht="15.75" customHeight="1">
      <c r="B221" s="173"/>
      <c r="D221" s="111"/>
      <c r="E221" s="111"/>
      <c r="F221" s="108"/>
      <c r="G221" s="112"/>
      <c r="I221" s="110"/>
      <c r="K221" s="110"/>
    </row>
    <row r="222" ht="15.75" customHeight="1">
      <c r="B222" s="173"/>
      <c r="D222" s="111"/>
      <c r="E222" s="111"/>
      <c r="F222" s="108"/>
      <c r="G222" s="112"/>
      <c r="I222" s="110"/>
      <c r="K222" s="110"/>
    </row>
    <row r="223" ht="15.75" customHeight="1">
      <c r="B223" s="173"/>
      <c r="D223" s="111"/>
      <c r="E223" s="111"/>
      <c r="F223" s="108"/>
      <c r="G223" s="112"/>
      <c r="I223" s="110"/>
      <c r="K223" s="110"/>
    </row>
    <row r="224" ht="15.75" customHeight="1">
      <c r="B224" s="173"/>
      <c r="D224" s="111"/>
      <c r="E224" s="111"/>
      <c r="F224" s="108"/>
      <c r="G224" s="112"/>
      <c r="I224" s="110"/>
      <c r="K224" s="110"/>
    </row>
    <row r="225" ht="15.75" customHeight="1">
      <c r="B225" s="173"/>
      <c r="D225" s="111"/>
      <c r="E225" s="111"/>
      <c r="F225" s="108"/>
      <c r="G225" s="112"/>
      <c r="I225" s="110"/>
      <c r="K225" s="110"/>
    </row>
    <row r="226" ht="15.75" customHeight="1">
      <c r="B226" s="173"/>
      <c r="D226" s="111"/>
      <c r="E226" s="111"/>
      <c r="F226" s="108"/>
      <c r="G226" s="112"/>
      <c r="I226" s="110"/>
      <c r="K226" s="110"/>
    </row>
    <row r="227" ht="15.75" customHeight="1">
      <c r="B227" s="173"/>
      <c r="D227" s="111"/>
      <c r="E227" s="111"/>
      <c r="F227" s="108"/>
      <c r="G227" s="112"/>
      <c r="I227" s="110"/>
      <c r="K227" s="110"/>
    </row>
    <row r="228" ht="15.75" customHeight="1">
      <c r="B228" s="173"/>
      <c r="D228" s="111"/>
      <c r="E228" s="111"/>
      <c r="F228" s="108"/>
      <c r="G228" s="112"/>
      <c r="I228" s="110"/>
      <c r="K228" s="110"/>
    </row>
    <row r="229" ht="15.75" customHeight="1">
      <c r="B229" s="173"/>
      <c r="D229" s="111"/>
      <c r="E229" s="111"/>
      <c r="F229" s="108"/>
      <c r="G229" s="112"/>
      <c r="I229" s="110"/>
      <c r="K229" s="110"/>
    </row>
    <row r="230" ht="15.75" customHeight="1">
      <c r="B230" s="173"/>
      <c r="D230" s="111"/>
      <c r="E230" s="111"/>
      <c r="F230" s="108"/>
      <c r="G230" s="112"/>
      <c r="I230" s="110"/>
      <c r="K230" s="110"/>
    </row>
    <row r="231" ht="15.75" customHeight="1">
      <c r="B231" s="173"/>
      <c r="D231" s="111"/>
      <c r="E231" s="111"/>
      <c r="F231" s="108"/>
      <c r="G231" s="112"/>
      <c r="I231" s="110"/>
      <c r="K231" s="110"/>
    </row>
    <row r="232" ht="15.75" customHeight="1">
      <c r="B232" s="173"/>
      <c r="D232" s="111"/>
      <c r="E232" s="111"/>
      <c r="F232" s="108"/>
      <c r="G232" s="112"/>
      <c r="I232" s="110"/>
      <c r="K232" s="110"/>
    </row>
    <row r="233" ht="15.75" customHeight="1">
      <c r="B233" s="173"/>
      <c r="D233" s="111"/>
      <c r="E233" s="111"/>
      <c r="F233" s="108"/>
      <c r="G233" s="112"/>
      <c r="I233" s="110"/>
      <c r="K233" s="110"/>
    </row>
    <row r="234" ht="15.75" customHeight="1">
      <c r="B234" s="173"/>
      <c r="D234" s="111"/>
      <c r="E234" s="111"/>
      <c r="F234" s="108"/>
      <c r="G234" s="112"/>
      <c r="I234" s="110"/>
      <c r="K234" s="110"/>
    </row>
    <row r="235" ht="15.75" customHeight="1">
      <c r="B235" s="173"/>
      <c r="D235" s="111"/>
      <c r="E235" s="111"/>
      <c r="F235" s="108"/>
      <c r="G235" s="112"/>
      <c r="I235" s="110"/>
      <c r="K235" s="110"/>
    </row>
    <row r="236" ht="15.75" customHeight="1">
      <c r="B236" s="173"/>
      <c r="D236" s="111"/>
      <c r="E236" s="111"/>
      <c r="F236" s="108"/>
      <c r="G236" s="112"/>
      <c r="I236" s="110"/>
      <c r="K236" s="110"/>
    </row>
    <row r="237" ht="15.75" customHeight="1">
      <c r="B237" s="173"/>
      <c r="D237" s="111"/>
      <c r="E237" s="111"/>
      <c r="F237" s="108"/>
      <c r="G237" s="112"/>
      <c r="I237" s="110"/>
      <c r="K237" s="110"/>
    </row>
    <row r="238" ht="15.75" customHeight="1">
      <c r="B238" s="173"/>
      <c r="D238" s="111"/>
      <c r="E238" s="111"/>
      <c r="F238" s="108"/>
      <c r="G238" s="112"/>
      <c r="I238" s="110"/>
      <c r="K238" s="110"/>
    </row>
    <row r="239" ht="15.75" customHeight="1">
      <c r="B239" s="173"/>
      <c r="D239" s="111"/>
      <c r="E239" s="111"/>
      <c r="F239" s="108"/>
      <c r="G239" s="112"/>
      <c r="I239" s="110"/>
      <c r="K239" s="110"/>
    </row>
    <row r="240" ht="15.75" customHeight="1">
      <c r="B240" s="173"/>
      <c r="D240" s="111"/>
      <c r="E240" s="111"/>
      <c r="F240" s="108"/>
      <c r="G240" s="112"/>
      <c r="I240" s="110"/>
      <c r="K240" s="110"/>
    </row>
    <row r="241" ht="15.75" customHeight="1">
      <c r="B241" s="173"/>
      <c r="D241" s="111"/>
      <c r="E241" s="111"/>
      <c r="F241" s="108"/>
      <c r="G241" s="112"/>
      <c r="I241" s="110"/>
      <c r="K241" s="110"/>
    </row>
    <row r="242" ht="15.75" customHeight="1">
      <c r="B242" s="173"/>
      <c r="D242" s="111"/>
      <c r="E242" s="111"/>
      <c r="F242" s="108"/>
      <c r="G242" s="112"/>
      <c r="I242" s="110"/>
      <c r="K242" s="110"/>
    </row>
    <row r="243" ht="15.75" customHeight="1">
      <c r="B243" s="173"/>
      <c r="D243" s="111"/>
      <c r="E243" s="111"/>
      <c r="F243" s="108"/>
      <c r="G243" s="112"/>
      <c r="I243" s="110"/>
      <c r="K243" s="110"/>
    </row>
    <row r="244" ht="15.75" customHeight="1">
      <c r="B244" s="173"/>
      <c r="D244" s="111"/>
      <c r="E244" s="111"/>
      <c r="F244" s="108"/>
      <c r="G244" s="112"/>
      <c r="I244" s="110"/>
      <c r="K244" s="110"/>
    </row>
    <row r="245" ht="15.75" customHeight="1">
      <c r="B245" s="173"/>
      <c r="D245" s="111"/>
      <c r="E245" s="111"/>
      <c r="F245" s="108"/>
      <c r="G245" s="112"/>
      <c r="I245" s="110"/>
      <c r="K245" s="110"/>
    </row>
    <row r="246" ht="15.75" customHeight="1">
      <c r="B246" s="173"/>
      <c r="D246" s="111"/>
      <c r="E246" s="111"/>
      <c r="F246" s="108"/>
      <c r="G246" s="112"/>
      <c r="I246" s="110"/>
      <c r="K246" s="110"/>
    </row>
    <row r="247" ht="15.75" customHeight="1">
      <c r="B247" s="173"/>
      <c r="D247" s="111"/>
      <c r="E247" s="111"/>
      <c r="F247" s="108"/>
      <c r="G247" s="112"/>
      <c r="I247" s="110"/>
      <c r="K247" s="110"/>
    </row>
    <row r="248" ht="15.75" customHeight="1">
      <c r="B248" s="173"/>
      <c r="D248" s="111"/>
      <c r="E248" s="111"/>
      <c r="F248" s="108"/>
      <c r="G248" s="112"/>
      <c r="I248" s="110"/>
      <c r="K248" s="110"/>
    </row>
    <row r="249" ht="15.75" customHeight="1">
      <c r="B249" s="173"/>
      <c r="D249" s="111"/>
      <c r="E249" s="111"/>
      <c r="F249" s="108"/>
      <c r="G249" s="112"/>
      <c r="I249" s="110"/>
      <c r="K249" s="110"/>
    </row>
    <row r="250" ht="15.75" customHeight="1">
      <c r="B250" s="173"/>
      <c r="D250" s="111"/>
      <c r="E250" s="111"/>
      <c r="F250" s="108"/>
      <c r="G250" s="112"/>
      <c r="I250" s="110"/>
      <c r="K250" s="110"/>
    </row>
    <row r="251" ht="15.75" customHeight="1">
      <c r="B251" s="173"/>
      <c r="D251" s="111"/>
      <c r="E251" s="111"/>
      <c r="F251" s="108"/>
      <c r="G251" s="112"/>
      <c r="I251" s="110"/>
      <c r="K251" s="110"/>
    </row>
    <row r="252" ht="15.75" customHeight="1">
      <c r="B252" s="173"/>
      <c r="D252" s="111"/>
      <c r="E252" s="111"/>
      <c r="F252" s="108"/>
      <c r="G252" s="112"/>
      <c r="I252" s="110"/>
      <c r="K252" s="110"/>
    </row>
    <row r="253" ht="15.75" customHeight="1">
      <c r="B253" s="173"/>
      <c r="D253" s="111"/>
      <c r="E253" s="111"/>
      <c r="F253" s="108"/>
      <c r="G253" s="112"/>
      <c r="I253" s="110"/>
      <c r="K253" s="110"/>
    </row>
    <row r="254" ht="15.75" customHeight="1">
      <c r="B254" s="173"/>
      <c r="D254" s="111"/>
      <c r="E254" s="111"/>
      <c r="F254" s="108"/>
      <c r="G254" s="112"/>
      <c r="I254" s="110"/>
      <c r="K254" s="110"/>
    </row>
    <row r="255" ht="15.75" customHeight="1">
      <c r="B255" s="173"/>
      <c r="D255" s="111"/>
      <c r="E255" s="111"/>
      <c r="F255" s="108"/>
      <c r="G255" s="112"/>
      <c r="I255" s="110"/>
      <c r="K255" s="110"/>
    </row>
    <row r="256" ht="15.75" customHeight="1">
      <c r="B256" s="173"/>
      <c r="D256" s="111"/>
      <c r="E256" s="111"/>
      <c r="F256" s="108"/>
      <c r="G256" s="112"/>
      <c r="I256" s="110"/>
      <c r="K256" s="110"/>
    </row>
    <row r="257" ht="15.75" customHeight="1">
      <c r="B257" s="173"/>
      <c r="D257" s="111"/>
      <c r="E257" s="111"/>
      <c r="F257" s="108"/>
      <c r="G257" s="112"/>
      <c r="I257" s="110"/>
      <c r="K257" s="110"/>
    </row>
    <row r="258" ht="15.75" customHeight="1">
      <c r="B258" s="173"/>
      <c r="D258" s="111"/>
      <c r="E258" s="111"/>
      <c r="F258" s="108"/>
      <c r="G258" s="112"/>
      <c r="I258" s="110"/>
      <c r="K258" s="110"/>
    </row>
    <row r="259" ht="15.75" customHeight="1">
      <c r="B259" s="173"/>
      <c r="D259" s="111"/>
      <c r="E259" s="111"/>
      <c r="F259" s="108"/>
      <c r="G259" s="112"/>
      <c r="I259" s="110"/>
      <c r="K259" s="110"/>
    </row>
    <row r="260" ht="15.75" customHeight="1">
      <c r="B260" s="173"/>
      <c r="D260" s="111"/>
      <c r="E260" s="111"/>
      <c r="F260" s="108"/>
      <c r="G260" s="112"/>
      <c r="I260" s="110"/>
      <c r="K260" s="110"/>
    </row>
    <row r="261" ht="15.75" customHeight="1">
      <c r="B261" s="173"/>
      <c r="D261" s="111"/>
      <c r="E261" s="111"/>
      <c r="F261" s="108"/>
      <c r="G261" s="112"/>
      <c r="I261" s="110"/>
      <c r="K261" s="110"/>
    </row>
    <row r="262" ht="15.75" customHeight="1">
      <c r="B262" s="173"/>
      <c r="D262" s="111"/>
      <c r="E262" s="111"/>
      <c r="F262" s="108"/>
      <c r="G262" s="112"/>
      <c r="I262" s="110"/>
      <c r="K262" s="110"/>
    </row>
    <row r="263" ht="15.75" customHeight="1">
      <c r="B263" s="173"/>
      <c r="D263" s="111"/>
      <c r="E263" s="111"/>
      <c r="F263" s="108"/>
      <c r="G263" s="112"/>
      <c r="I263" s="110"/>
      <c r="K263" s="110"/>
    </row>
    <row r="264" ht="15.75" customHeight="1">
      <c r="B264" s="173"/>
      <c r="D264" s="111"/>
      <c r="E264" s="111"/>
      <c r="F264" s="108"/>
      <c r="G264" s="112"/>
      <c r="I264" s="110"/>
      <c r="K264" s="110"/>
    </row>
    <row r="265" ht="15.75" customHeight="1">
      <c r="B265" s="173"/>
      <c r="D265" s="111"/>
      <c r="E265" s="111"/>
      <c r="F265" s="108"/>
      <c r="G265" s="112"/>
      <c r="I265" s="110"/>
      <c r="K265" s="110"/>
    </row>
    <row r="266" ht="15.75" customHeight="1">
      <c r="B266" s="173"/>
      <c r="D266" s="111"/>
      <c r="E266" s="111"/>
      <c r="F266" s="108"/>
      <c r="G266" s="112"/>
      <c r="I266" s="110"/>
      <c r="K266" s="110"/>
    </row>
    <row r="267" ht="15.75" customHeight="1">
      <c r="B267" s="173"/>
      <c r="D267" s="111"/>
      <c r="E267" s="111"/>
      <c r="F267" s="108"/>
      <c r="G267" s="112"/>
      <c r="I267" s="110"/>
      <c r="K267" s="110"/>
    </row>
    <row r="268" ht="15.75" customHeight="1">
      <c r="B268" s="173"/>
      <c r="D268" s="111"/>
      <c r="E268" s="111"/>
      <c r="F268" s="108"/>
      <c r="G268" s="112"/>
      <c r="I268" s="110"/>
      <c r="K268" s="110"/>
    </row>
    <row r="269" ht="15.75" customHeight="1">
      <c r="B269" s="173"/>
      <c r="D269" s="111"/>
      <c r="E269" s="111"/>
      <c r="F269" s="108"/>
      <c r="G269" s="112"/>
      <c r="I269" s="110"/>
      <c r="K269" s="110"/>
    </row>
    <row r="270" ht="15.75" customHeight="1">
      <c r="B270" s="173"/>
      <c r="D270" s="111"/>
      <c r="E270" s="111"/>
      <c r="F270" s="108"/>
      <c r="G270" s="112"/>
      <c r="I270" s="110"/>
      <c r="K270" s="110"/>
    </row>
    <row r="271" ht="15.75" customHeight="1">
      <c r="B271" s="173"/>
      <c r="D271" s="111"/>
      <c r="E271" s="111"/>
      <c r="F271" s="108"/>
      <c r="G271" s="112"/>
      <c r="I271" s="110"/>
      <c r="K271" s="110"/>
    </row>
    <row r="272" ht="15.75" customHeight="1">
      <c r="B272" s="173"/>
      <c r="D272" s="111"/>
      <c r="E272" s="111"/>
      <c r="F272" s="108"/>
      <c r="G272" s="112"/>
      <c r="I272" s="110"/>
      <c r="K272" s="110"/>
    </row>
    <row r="273" ht="15.75" customHeight="1">
      <c r="B273" s="173"/>
      <c r="D273" s="111"/>
      <c r="E273" s="111"/>
      <c r="F273" s="108"/>
      <c r="G273" s="112"/>
      <c r="I273" s="110"/>
      <c r="K273" s="110"/>
    </row>
    <row r="274" ht="15.75" customHeight="1">
      <c r="B274" s="173"/>
      <c r="D274" s="111"/>
      <c r="E274" s="111"/>
      <c r="F274" s="108"/>
      <c r="G274" s="112"/>
      <c r="I274" s="110"/>
      <c r="K274" s="110"/>
    </row>
    <row r="275" ht="15.75" customHeight="1">
      <c r="B275" s="173"/>
      <c r="D275" s="111"/>
      <c r="E275" s="111"/>
      <c r="F275" s="108"/>
      <c r="G275" s="112"/>
      <c r="I275" s="110"/>
      <c r="K275" s="110"/>
    </row>
    <row r="276" ht="15.75" customHeight="1">
      <c r="B276" s="173"/>
      <c r="D276" s="111"/>
      <c r="E276" s="111"/>
      <c r="F276" s="108"/>
      <c r="G276" s="112"/>
      <c r="I276" s="110"/>
      <c r="K276" s="110"/>
    </row>
    <row r="277" ht="15.75" customHeight="1">
      <c r="B277" s="173"/>
      <c r="D277" s="111"/>
      <c r="E277" s="111"/>
      <c r="F277" s="108"/>
      <c r="G277" s="112"/>
      <c r="I277" s="110"/>
      <c r="K277" s="110"/>
    </row>
    <row r="278" ht="15.75" customHeight="1">
      <c r="B278" s="173"/>
      <c r="D278" s="111"/>
      <c r="E278" s="111"/>
      <c r="F278" s="108"/>
      <c r="G278" s="112"/>
      <c r="I278" s="110"/>
      <c r="K278" s="110"/>
    </row>
    <row r="279" ht="15.75" customHeight="1">
      <c r="B279" s="173"/>
      <c r="D279" s="111"/>
      <c r="E279" s="111"/>
      <c r="F279" s="108"/>
      <c r="G279" s="112"/>
      <c r="I279" s="110"/>
      <c r="K279" s="110"/>
    </row>
    <row r="280" ht="15.75" customHeight="1">
      <c r="B280" s="173"/>
      <c r="D280" s="111"/>
      <c r="E280" s="111"/>
      <c r="F280" s="108"/>
      <c r="G280" s="112"/>
      <c r="I280" s="110"/>
      <c r="K280" s="110"/>
    </row>
    <row r="281" ht="15.75" customHeight="1">
      <c r="B281" s="173"/>
      <c r="D281" s="111"/>
      <c r="E281" s="111"/>
      <c r="F281" s="108"/>
      <c r="G281" s="112"/>
      <c r="I281" s="110"/>
      <c r="K281" s="110"/>
    </row>
    <row r="282" ht="15.75" customHeight="1">
      <c r="B282" s="173"/>
      <c r="D282" s="111"/>
      <c r="E282" s="111"/>
      <c r="F282" s="108"/>
      <c r="G282" s="112"/>
      <c r="I282" s="110"/>
      <c r="K282" s="110"/>
    </row>
    <row r="283" ht="15.75" customHeight="1">
      <c r="B283" s="173"/>
      <c r="D283" s="111"/>
      <c r="E283" s="111"/>
      <c r="F283" s="108"/>
      <c r="G283" s="112"/>
      <c r="I283" s="110"/>
      <c r="K283" s="110"/>
    </row>
    <row r="284" ht="15.75" customHeight="1">
      <c r="B284" s="173"/>
      <c r="D284" s="111"/>
      <c r="E284" s="111"/>
      <c r="F284" s="108"/>
      <c r="G284" s="112"/>
      <c r="I284" s="110"/>
      <c r="K284" s="110"/>
    </row>
    <row r="285" ht="15.75" customHeight="1">
      <c r="B285" s="173"/>
      <c r="D285" s="111"/>
      <c r="E285" s="111"/>
      <c r="F285" s="108"/>
      <c r="G285" s="112"/>
      <c r="I285" s="110"/>
      <c r="K285" s="110"/>
    </row>
    <row r="286" ht="15.75" customHeight="1">
      <c r="B286" s="173"/>
      <c r="D286" s="111"/>
      <c r="E286" s="111"/>
      <c r="F286" s="108"/>
      <c r="G286" s="112"/>
      <c r="I286" s="110"/>
      <c r="K286" s="110"/>
    </row>
    <row r="287" ht="15.75" customHeight="1">
      <c r="B287" s="173"/>
      <c r="D287" s="111"/>
      <c r="E287" s="111"/>
      <c r="F287" s="108"/>
      <c r="G287" s="112"/>
      <c r="I287" s="110"/>
      <c r="K287" s="110"/>
    </row>
    <row r="288" ht="15.75" customHeight="1">
      <c r="B288" s="173"/>
      <c r="D288" s="111"/>
      <c r="E288" s="111"/>
      <c r="F288" s="108"/>
      <c r="G288" s="112"/>
      <c r="I288" s="110"/>
      <c r="K288" s="110"/>
    </row>
    <row r="289" ht="15.75" customHeight="1">
      <c r="B289" s="173"/>
      <c r="D289" s="111"/>
      <c r="E289" s="111"/>
      <c r="F289" s="108"/>
      <c r="G289" s="112"/>
      <c r="I289" s="110"/>
      <c r="K289" s="110"/>
    </row>
    <row r="290" ht="15.75" customHeight="1">
      <c r="B290" s="173"/>
      <c r="D290" s="111"/>
      <c r="E290" s="111"/>
      <c r="F290" s="108"/>
      <c r="G290" s="112"/>
      <c r="I290" s="110"/>
      <c r="K290" s="110"/>
    </row>
    <row r="291" ht="15.75" customHeight="1">
      <c r="B291" s="173"/>
      <c r="D291" s="111"/>
      <c r="E291" s="111"/>
      <c r="F291" s="108"/>
      <c r="G291" s="112"/>
      <c r="I291" s="110"/>
      <c r="K291" s="110"/>
    </row>
    <row r="292" ht="15.75" customHeight="1">
      <c r="B292" s="173"/>
      <c r="D292" s="111"/>
      <c r="E292" s="111"/>
      <c r="F292" s="108"/>
      <c r="G292" s="112"/>
      <c r="I292" s="110"/>
      <c r="K292" s="110"/>
    </row>
    <row r="293" ht="15.75" customHeight="1">
      <c r="B293" s="173"/>
      <c r="D293" s="111"/>
      <c r="E293" s="111"/>
      <c r="F293" s="108"/>
      <c r="G293" s="112"/>
      <c r="I293" s="110"/>
      <c r="K293" s="110"/>
    </row>
    <row r="294" ht="15.75" customHeight="1">
      <c r="B294" s="173"/>
      <c r="D294" s="111"/>
      <c r="E294" s="111"/>
      <c r="F294" s="108"/>
      <c r="G294" s="112"/>
      <c r="I294" s="110"/>
      <c r="K294" s="110"/>
    </row>
    <row r="295" ht="15.75" customHeight="1">
      <c r="B295" s="173"/>
      <c r="D295" s="111"/>
      <c r="E295" s="111"/>
      <c r="F295" s="108"/>
      <c r="G295" s="112"/>
      <c r="I295" s="110"/>
      <c r="K295" s="110"/>
    </row>
    <row r="296" ht="15.75" customHeight="1">
      <c r="B296" s="173"/>
      <c r="D296" s="111"/>
      <c r="E296" s="111"/>
      <c r="F296" s="108"/>
      <c r="G296" s="112"/>
      <c r="I296" s="110"/>
      <c r="K296" s="110"/>
    </row>
    <row r="297" ht="15.75" customHeight="1">
      <c r="B297" s="173"/>
      <c r="D297" s="111"/>
      <c r="E297" s="111"/>
      <c r="F297" s="108"/>
      <c r="G297" s="112"/>
      <c r="I297" s="110"/>
      <c r="K297" s="110"/>
    </row>
    <row r="298" ht="15.75" customHeight="1">
      <c r="B298" s="173"/>
      <c r="D298" s="111"/>
      <c r="E298" s="111"/>
      <c r="F298" s="108"/>
      <c r="G298" s="112"/>
      <c r="I298" s="110"/>
      <c r="K298" s="110"/>
    </row>
    <row r="299" ht="15.75" customHeight="1">
      <c r="B299" s="173"/>
      <c r="D299" s="111"/>
      <c r="E299" s="111"/>
      <c r="F299" s="108"/>
      <c r="G299" s="112"/>
      <c r="I299" s="110"/>
      <c r="K299" s="110"/>
    </row>
    <row r="300" ht="15.75" customHeight="1">
      <c r="B300" s="173"/>
      <c r="D300" s="111"/>
      <c r="E300" s="111"/>
      <c r="F300" s="108"/>
      <c r="G300" s="112"/>
      <c r="I300" s="110"/>
      <c r="K300" s="110"/>
    </row>
    <row r="301" ht="15.75" customHeight="1">
      <c r="B301" s="173"/>
      <c r="D301" s="111"/>
      <c r="E301" s="111"/>
      <c r="F301" s="108"/>
      <c r="G301" s="112"/>
      <c r="I301" s="110"/>
      <c r="K301" s="110"/>
    </row>
    <row r="302" ht="15.75" customHeight="1">
      <c r="B302" s="173"/>
      <c r="D302" s="111"/>
      <c r="E302" s="111"/>
      <c r="F302" s="108"/>
      <c r="G302" s="112"/>
      <c r="I302" s="110"/>
      <c r="K302" s="110"/>
    </row>
    <row r="303" ht="15.75" customHeight="1">
      <c r="B303" s="173"/>
      <c r="D303" s="111"/>
      <c r="E303" s="111"/>
      <c r="F303" s="108"/>
      <c r="G303" s="112"/>
      <c r="I303" s="110"/>
      <c r="K303" s="110"/>
    </row>
    <row r="304" ht="15.75" customHeight="1">
      <c r="B304" s="173"/>
      <c r="D304" s="111"/>
      <c r="E304" s="111"/>
      <c r="F304" s="108"/>
      <c r="G304" s="112"/>
      <c r="I304" s="110"/>
      <c r="K304" s="110"/>
    </row>
    <row r="305" ht="15.75" customHeight="1">
      <c r="B305" s="173"/>
      <c r="D305" s="111"/>
      <c r="E305" s="111"/>
      <c r="F305" s="108"/>
      <c r="G305" s="112"/>
      <c r="I305" s="110"/>
      <c r="K305" s="110"/>
    </row>
    <row r="306" ht="15.75" customHeight="1">
      <c r="B306" s="173"/>
      <c r="D306" s="111"/>
      <c r="E306" s="111"/>
      <c r="F306" s="108"/>
      <c r="G306" s="112"/>
      <c r="I306" s="110"/>
      <c r="K306" s="110"/>
    </row>
    <row r="307" ht="15.75" customHeight="1">
      <c r="B307" s="173"/>
      <c r="D307" s="111"/>
      <c r="E307" s="111"/>
      <c r="F307" s="108"/>
      <c r="G307" s="112"/>
      <c r="I307" s="110"/>
      <c r="K307" s="110"/>
    </row>
    <row r="308" ht="15.75" customHeight="1">
      <c r="B308" s="173"/>
      <c r="D308" s="111"/>
      <c r="E308" s="111"/>
      <c r="F308" s="108"/>
      <c r="G308" s="112"/>
      <c r="I308" s="110"/>
      <c r="K308" s="110"/>
    </row>
    <row r="309" ht="15.75" customHeight="1">
      <c r="B309" s="173"/>
      <c r="D309" s="111"/>
      <c r="E309" s="111"/>
      <c r="F309" s="108"/>
      <c r="G309" s="112"/>
      <c r="I309" s="110"/>
      <c r="K309" s="110"/>
    </row>
    <row r="310" ht="15.75" customHeight="1">
      <c r="B310" s="173"/>
      <c r="D310" s="111"/>
      <c r="E310" s="111"/>
      <c r="F310" s="108"/>
      <c r="G310" s="112"/>
      <c r="I310" s="110"/>
      <c r="K310" s="110"/>
    </row>
    <row r="311" ht="15.75" customHeight="1">
      <c r="B311" s="173"/>
      <c r="D311" s="111"/>
      <c r="E311" s="111"/>
      <c r="F311" s="108"/>
      <c r="G311" s="112"/>
      <c r="I311" s="110"/>
      <c r="K311" s="110"/>
    </row>
    <row r="312" ht="15.75" customHeight="1">
      <c r="B312" s="173"/>
      <c r="D312" s="111"/>
      <c r="E312" s="111"/>
      <c r="F312" s="108"/>
      <c r="G312" s="112"/>
      <c r="I312" s="110"/>
      <c r="K312" s="110"/>
    </row>
    <row r="313" ht="15.75" customHeight="1">
      <c r="B313" s="173"/>
      <c r="D313" s="111"/>
      <c r="E313" s="111"/>
      <c r="F313" s="108"/>
      <c r="G313" s="112"/>
      <c r="I313" s="110"/>
      <c r="K313" s="110"/>
    </row>
    <row r="314" ht="15.75" customHeight="1">
      <c r="B314" s="173"/>
      <c r="D314" s="111"/>
      <c r="E314" s="111"/>
      <c r="F314" s="108"/>
      <c r="G314" s="112"/>
      <c r="I314" s="110"/>
      <c r="K314" s="110"/>
    </row>
    <row r="315" ht="15.75" customHeight="1">
      <c r="B315" s="173"/>
      <c r="D315" s="111"/>
      <c r="E315" s="111"/>
      <c r="F315" s="108"/>
      <c r="G315" s="112"/>
      <c r="I315" s="110"/>
      <c r="K315" s="110"/>
    </row>
    <row r="316" ht="15.75" customHeight="1">
      <c r="B316" s="173"/>
      <c r="D316" s="111"/>
      <c r="E316" s="111"/>
      <c r="F316" s="108"/>
      <c r="G316" s="112"/>
      <c r="I316" s="110"/>
      <c r="K316" s="110"/>
    </row>
    <row r="317" ht="15.75" customHeight="1">
      <c r="B317" s="173"/>
      <c r="D317" s="111"/>
      <c r="E317" s="111"/>
      <c r="F317" s="108"/>
      <c r="G317" s="112"/>
      <c r="I317" s="110"/>
      <c r="K317" s="110"/>
    </row>
    <row r="318" ht="15.75" customHeight="1">
      <c r="B318" s="173"/>
      <c r="D318" s="111"/>
      <c r="E318" s="111"/>
      <c r="F318" s="108"/>
      <c r="G318" s="112"/>
      <c r="I318" s="110"/>
      <c r="K318" s="110"/>
    </row>
    <row r="319" ht="15.75" customHeight="1">
      <c r="B319" s="173"/>
      <c r="D319" s="111"/>
      <c r="E319" s="111"/>
      <c r="F319" s="108"/>
      <c r="G319" s="112"/>
      <c r="I319" s="110"/>
      <c r="K319" s="110"/>
    </row>
    <row r="320" ht="15.75" customHeight="1">
      <c r="B320" s="173"/>
      <c r="D320" s="111"/>
      <c r="E320" s="111"/>
      <c r="F320" s="108"/>
      <c r="G320" s="112"/>
      <c r="I320" s="110"/>
      <c r="K320" s="110"/>
    </row>
    <row r="321" ht="15.75" customHeight="1">
      <c r="B321" s="173"/>
      <c r="D321" s="111"/>
      <c r="E321" s="111"/>
      <c r="F321" s="108"/>
      <c r="G321" s="112"/>
      <c r="I321" s="110"/>
      <c r="K321" s="110"/>
    </row>
    <row r="322" ht="15.75" customHeight="1">
      <c r="B322" s="173"/>
      <c r="D322" s="111"/>
      <c r="E322" s="111"/>
      <c r="F322" s="108"/>
      <c r="G322" s="112"/>
      <c r="I322" s="110"/>
      <c r="K322" s="110"/>
    </row>
    <row r="323" ht="15.75" customHeight="1">
      <c r="B323" s="173"/>
      <c r="D323" s="111"/>
      <c r="E323" s="111"/>
      <c r="F323" s="108"/>
      <c r="G323" s="112"/>
      <c r="I323" s="110"/>
      <c r="K323" s="110"/>
    </row>
    <row r="324" ht="15.75" customHeight="1">
      <c r="B324" s="173"/>
      <c r="D324" s="111"/>
      <c r="E324" s="111"/>
      <c r="F324" s="108"/>
      <c r="G324" s="112"/>
      <c r="I324" s="110"/>
      <c r="K324" s="110"/>
    </row>
    <row r="325" ht="15.75" customHeight="1">
      <c r="B325" s="173"/>
      <c r="D325" s="111"/>
      <c r="E325" s="111"/>
      <c r="F325" s="108"/>
      <c r="G325" s="112"/>
      <c r="I325" s="110"/>
      <c r="K325" s="110"/>
    </row>
    <row r="326" ht="15.75" customHeight="1">
      <c r="B326" s="173"/>
      <c r="D326" s="111"/>
      <c r="E326" s="111"/>
      <c r="F326" s="108"/>
      <c r="G326" s="112"/>
      <c r="I326" s="110"/>
      <c r="K326" s="110"/>
    </row>
    <row r="327" ht="15.75" customHeight="1">
      <c r="B327" s="173"/>
      <c r="D327" s="111"/>
      <c r="E327" s="111"/>
      <c r="F327" s="108"/>
      <c r="G327" s="112"/>
      <c r="I327" s="110"/>
      <c r="K327" s="110"/>
    </row>
    <row r="328" ht="15.75" customHeight="1">
      <c r="B328" s="173"/>
      <c r="D328" s="111"/>
      <c r="E328" s="111"/>
      <c r="F328" s="108"/>
      <c r="G328" s="112"/>
      <c r="I328" s="110"/>
      <c r="K328" s="110"/>
    </row>
    <row r="329" ht="15.75" customHeight="1">
      <c r="B329" s="173"/>
      <c r="D329" s="111"/>
      <c r="E329" s="111"/>
      <c r="F329" s="108"/>
      <c r="G329" s="112"/>
      <c r="I329" s="110"/>
      <c r="K329" s="110"/>
    </row>
    <row r="330" ht="15.75" customHeight="1">
      <c r="B330" s="173"/>
      <c r="D330" s="111"/>
      <c r="E330" s="111"/>
      <c r="F330" s="108"/>
      <c r="G330" s="112"/>
      <c r="I330" s="110"/>
      <c r="K330" s="110"/>
    </row>
    <row r="331" ht="15.75" customHeight="1">
      <c r="B331" s="173"/>
      <c r="D331" s="111"/>
      <c r="E331" s="111"/>
      <c r="F331" s="108"/>
      <c r="G331" s="112"/>
      <c r="I331" s="110"/>
      <c r="K331" s="110"/>
    </row>
    <row r="332" ht="15.75" customHeight="1">
      <c r="B332" s="173"/>
      <c r="D332" s="111"/>
      <c r="E332" s="111"/>
      <c r="F332" s="108"/>
      <c r="G332" s="112"/>
      <c r="I332" s="110"/>
      <c r="K332" s="110"/>
    </row>
    <row r="333" ht="15.75" customHeight="1">
      <c r="B333" s="173"/>
      <c r="D333" s="111"/>
      <c r="E333" s="111"/>
      <c r="F333" s="108"/>
      <c r="G333" s="112"/>
      <c r="I333" s="110"/>
      <c r="K333" s="110"/>
    </row>
    <row r="334" ht="15.75" customHeight="1">
      <c r="B334" s="173"/>
      <c r="D334" s="111"/>
      <c r="E334" s="111"/>
      <c r="F334" s="108"/>
      <c r="G334" s="112"/>
      <c r="I334" s="110"/>
      <c r="K334" s="110"/>
    </row>
    <row r="335" ht="15.75" customHeight="1">
      <c r="B335" s="173"/>
      <c r="D335" s="111"/>
      <c r="E335" s="111"/>
      <c r="F335" s="108"/>
      <c r="G335" s="112"/>
      <c r="I335" s="110"/>
      <c r="K335" s="110"/>
    </row>
    <row r="336" ht="15.75" customHeight="1">
      <c r="B336" s="173"/>
      <c r="D336" s="111"/>
      <c r="E336" s="111"/>
      <c r="F336" s="108"/>
      <c r="G336" s="112"/>
      <c r="I336" s="110"/>
      <c r="K336" s="110"/>
    </row>
    <row r="337" ht="15.75" customHeight="1">
      <c r="B337" s="173"/>
      <c r="D337" s="111"/>
      <c r="E337" s="111"/>
      <c r="F337" s="108"/>
      <c r="G337" s="112"/>
      <c r="I337" s="110"/>
      <c r="K337" s="110"/>
    </row>
    <row r="338" ht="15.75" customHeight="1">
      <c r="B338" s="173"/>
      <c r="D338" s="111"/>
      <c r="E338" s="111"/>
      <c r="F338" s="108"/>
      <c r="G338" s="112"/>
      <c r="I338" s="110"/>
      <c r="K338" s="110"/>
    </row>
    <row r="339" ht="15.75" customHeight="1">
      <c r="B339" s="173"/>
      <c r="D339" s="111"/>
      <c r="E339" s="111"/>
      <c r="F339" s="108"/>
      <c r="G339" s="112"/>
      <c r="I339" s="110"/>
      <c r="K339" s="110"/>
    </row>
    <row r="340" ht="15.75" customHeight="1">
      <c r="B340" s="173"/>
      <c r="D340" s="111"/>
      <c r="E340" s="111"/>
      <c r="F340" s="108"/>
      <c r="G340" s="112"/>
      <c r="I340" s="110"/>
      <c r="K340" s="110"/>
    </row>
    <row r="341" ht="15.75" customHeight="1">
      <c r="B341" s="173"/>
      <c r="D341" s="111"/>
      <c r="E341" s="111"/>
      <c r="F341" s="108"/>
      <c r="G341" s="112"/>
      <c r="I341" s="110"/>
      <c r="K341" s="110"/>
    </row>
    <row r="342" ht="15.75" customHeight="1">
      <c r="B342" s="173"/>
      <c r="D342" s="111"/>
      <c r="E342" s="111"/>
      <c r="F342" s="108"/>
      <c r="G342" s="112"/>
      <c r="I342" s="110"/>
      <c r="K342" s="110"/>
    </row>
    <row r="343" ht="15.75" customHeight="1">
      <c r="B343" s="173"/>
      <c r="D343" s="111"/>
      <c r="E343" s="111"/>
      <c r="F343" s="108"/>
      <c r="G343" s="112"/>
      <c r="I343" s="110"/>
      <c r="K343" s="110"/>
    </row>
    <row r="344" ht="15.75" customHeight="1">
      <c r="B344" s="173"/>
      <c r="D344" s="111"/>
      <c r="E344" s="111"/>
      <c r="F344" s="108"/>
      <c r="G344" s="112"/>
      <c r="I344" s="110"/>
      <c r="K344" s="110"/>
    </row>
    <row r="345" ht="15.75" customHeight="1">
      <c r="B345" s="173"/>
      <c r="D345" s="111"/>
      <c r="E345" s="111"/>
      <c r="F345" s="108"/>
      <c r="G345" s="112"/>
      <c r="I345" s="110"/>
      <c r="K345" s="110"/>
    </row>
    <row r="346" ht="15.75" customHeight="1">
      <c r="B346" s="173"/>
      <c r="D346" s="111"/>
      <c r="E346" s="111"/>
      <c r="F346" s="108"/>
      <c r="G346" s="112"/>
      <c r="I346" s="110"/>
      <c r="K346" s="110"/>
    </row>
    <row r="347" ht="15.75" customHeight="1">
      <c r="B347" s="173"/>
      <c r="D347" s="111"/>
      <c r="E347" s="111"/>
      <c r="F347" s="108"/>
      <c r="G347" s="112"/>
      <c r="I347" s="110"/>
      <c r="K347" s="110"/>
    </row>
    <row r="348" ht="15.75" customHeight="1">
      <c r="B348" s="173"/>
      <c r="D348" s="111"/>
      <c r="E348" s="111"/>
      <c r="F348" s="108"/>
      <c r="G348" s="112"/>
      <c r="I348" s="110"/>
      <c r="K348" s="110"/>
    </row>
    <row r="349" ht="15.75" customHeight="1">
      <c r="B349" s="173"/>
      <c r="D349" s="111"/>
      <c r="E349" s="111"/>
      <c r="F349" s="108"/>
      <c r="G349" s="112"/>
      <c r="I349" s="110"/>
      <c r="K349" s="110"/>
    </row>
    <row r="350" ht="15.75" customHeight="1">
      <c r="B350" s="173"/>
      <c r="D350" s="111"/>
      <c r="E350" s="111"/>
      <c r="F350" s="108"/>
      <c r="G350" s="112"/>
      <c r="I350" s="110"/>
      <c r="K350" s="110"/>
    </row>
    <row r="351" ht="15.75" customHeight="1">
      <c r="B351" s="173"/>
      <c r="D351" s="111"/>
      <c r="E351" s="111"/>
      <c r="F351" s="108"/>
      <c r="G351" s="112"/>
      <c r="I351" s="110"/>
      <c r="K351" s="110"/>
    </row>
    <row r="352" ht="15.75" customHeight="1">
      <c r="B352" s="173"/>
      <c r="D352" s="111"/>
      <c r="E352" s="111"/>
      <c r="F352" s="108"/>
      <c r="G352" s="112"/>
      <c r="I352" s="110"/>
      <c r="K352" s="110"/>
    </row>
    <row r="353" ht="15.75" customHeight="1">
      <c r="B353" s="173"/>
      <c r="D353" s="111"/>
      <c r="E353" s="111"/>
      <c r="F353" s="108"/>
      <c r="G353" s="112"/>
      <c r="I353" s="110"/>
      <c r="K353" s="110"/>
    </row>
    <row r="354" ht="15.75" customHeight="1">
      <c r="B354" s="173"/>
      <c r="D354" s="111"/>
      <c r="E354" s="111"/>
      <c r="F354" s="108"/>
      <c r="G354" s="112"/>
      <c r="I354" s="110"/>
      <c r="K354" s="110"/>
    </row>
    <row r="355" ht="15.75" customHeight="1">
      <c r="B355" s="173"/>
      <c r="D355" s="111"/>
      <c r="E355" s="111"/>
      <c r="F355" s="108"/>
      <c r="G355" s="112"/>
      <c r="I355" s="110"/>
      <c r="K355" s="110"/>
    </row>
    <row r="356" ht="15.75" customHeight="1">
      <c r="B356" s="173"/>
      <c r="D356" s="111"/>
      <c r="E356" s="111"/>
      <c r="F356" s="108"/>
      <c r="G356" s="112"/>
      <c r="I356" s="110"/>
      <c r="K356" s="110"/>
    </row>
    <row r="357" ht="15.75" customHeight="1">
      <c r="B357" s="173"/>
      <c r="D357" s="111"/>
      <c r="E357" s="111"/>
      <c r="F357" s="108"/>
      <c r="G357" s="112"/>
      <c r="I357" s="110"/>
      <c r="K357" s="110"/>
    </row>
    <row r="358" ht="15.75" customHeight="1">
      <c r="B358" s="173"/>
      <c r="D358" s="111"/>
      <c r="E358" s="111"/>
      <c r="F358" s="108"/>
      <c r="G358" s="112"/>
      <c r="I358" s="110"/>
      <c r="K358" s="110"/>
    </row>
    <row r="359" ht="15.75" customHeight="1">
      <c r="B359" s="173"/>
      <c r="D359" s="111"/>
      <c r="E359" s="111"/>
      <c r="F359" s="108"/>
      <c r="G359" s="112"/>
      <c r="I359" s="110"/>
      <c r="K359" s="110"/>
    </row>
    <row r="360" ht="15.75" customHeight="1">
      <c r="B360" s="173"/>
      <c r="D360" s="111"/>
      <c r="E360" s="111"/>
      <c r="F360" s="108"/>
      <c r="G360" s="112"/>
      <c r="I360" s="110"/>
      <c r="K360" s="110"/>
    </row>
    <row r="361" ht="15.75" customHeight="1">
      <c r="B361" s="173"/>
      <c r="D361" s="111"/>
      <c r="E361" s="111"/>
      <c r="F361" s="108"/>
      <c r="G361" s="112"/>
      <c r="I361" s="110"/>
      <c r="K361" s="110"/>
    </row>
    <row r="362" ht="15.75" customHeight="1">
      <c r="B362" s="173"/>
      <c r="D362" s="111"/>
      <c r="E362" s="111"/>
      <c r="F362" s="108"/>
      <c r="G362" s="112"/>
      <c r="I362" s="110"/>
      <c r="K362" s="110"/>
    </row>
    <row r="363" ht="15.75" customHeight="1">
      <c r="B363" s="173"/>
      <c r="D363" s="111"/>
      <c r="E363" s="111"/>
      <c r="F363" s="108"/>
      <c r="G363" s="112"/>
      <c r="I363" s="110"/>
      <c r="K363" s="110"/>
    </row>
    <row r="364" ht="15.75" customHeight="1">
      <c r="B364" s="173"/>
      <c r="D364" s="111"/>
      <c r="E364" s="111"/>
      <c r="F364" s="108"/>
      <c r="G364" s="112"/>
      <c r="I364" s="110"/>
      <c r="K364" s="110"/>
    </row>
    <row r="365" ht="15.75" customHeight="1">
      <c r="B365" s="173"/>
      <c r="D365" s="111"/>
      <c r="E365" s="111"/>
      <c r="F365" s="108"/>
      <c r="G365" s="112"/>
      <c r="I365" s="110"/>
      <c r="K365" s="110"/>
    </row>
    <row r="366" ht="15.75" customHeight="1">
      <c r="B366" s="173"/>
      <c r="D366" s="111"/>
      <c r="E366" s="111"/>
      <c r="F366" s="108"/>
      <c r="G366" s="112"/>
      <c r="I366" s="110"/>
      <c r="K366" s="110"/>
    </row>
    <row r="367" ht="15.75" customHeight="1">
      <c r="B367" s="173"/>
      <c r="D367" s="111"/>
      <c r="E367" s="111"/>
      <c r="F367" s="108"/>
      <c r="G367" s="112"/>
      <c r="I367" s="110"/>
      <c r="K367" s="110"/>
    </row>
    <row r="368" ht="15.75" customHeight="1">
      <c r="B368" s="173"/>
      <c r="D368" s="111"/>
      <c r="E368" s="111"/>
      <c r="F368" s="108"/>
      <c r="G368" s="112"/>
      <c r="I368" s="110"/>
      <c r="K368" s="110"/>
    </row>
    <row r="369" ht="15.75" customHeight="1">
      <c r="B369" s="173"/>
      <c r="D369" s="111"/>
      <c r="E369" s="111"/>
      <c r="F369" s="108"/>
      <c r="G369" s="112"/>
      <c r="I369" s="110"/>
      <c r="K369" s="110"/>
    </row>
    <row r="370" ht="15.75" customHeight="1">
      <c r="B370" s="173"/>
      <c r="D370" s="111"/>
      <c r="E370" s="111"/>
      <c r="F370" s="108"/>
      <c r="G370" s="112"/>
      <c r="I370" s="110"/>
      <c r="K370" s="110"/>
    </row>
    <row r="371" ht="15.75" customHeight="1">
      <c r="B371" s="173"/>
      <c r="D371" s="111"/>
      <c r="E371" s="111"/>
      <c r="F371" s="108"/>
      <c r="G371" s="112"/>
      <c r="I371" s="110"/>
      <c r="K371" s="110"/>
    </row>
    <row r="372" ht="15.75" customHeight="1">
      <c r="B372" s="173"/>
      <c r="D372" s="111"/>
      <c r="E372" s="111"/>
      <c r="F372" s="108"/>
      <c r="G372" s="112"/>
      <c r="I372" s="110"/>
      <c r="K372" s="110"/>
    </row>
    <row r="373" ht="15.75" customHeight="1">
      <c r="B373" s="173"/>
      <c r="D373" s="111"/>
      <c r="E373" s="111"/>
      <c r="F373" s="108"/>
      <c r="G373" s="112"/>
      <c r="I373" s="110"/>
      <c r="K373" s="110"/>
    </row>
    <row r="374" ht="15.75" customHeight="1">
      <c r="B374" s="173"/>
      <c r="D374" s="111"/>
      <c r="E374" s="111"/>
      <c r="F374" s="108"/>
      <c r="G374" s="112"/>
      <c r="I374" s="110"/>
      <c r="K374" s="110"/>
    </row>
    <row r="375" ht="15.75" customHeight="1">
      <c r="B375" s="173"/>
      <c r="D375" s="111"/>
      <c r="E375" s="111"/>
      <c r="F375" s="108"/>
      <c r="G375" s="112"/>
      <c r="I375" s="110"/>
      <c r="K375" s="110"/>
    </row>
    <row r="376" ht="15.75" customHeight="1">
      <c r="B376" s="173"/>
      <c r="D376" s="111"/>
      <c r="E376" s="111"/>
      <c r="F376" s="108"/>
      <c r="G376" s="112"/>
      <c r="I376" s="110"/>
      <c r="K376" s="110"/>
    </row>
    <row r="377" ht="15.75" customHeight="1">
      <c r="B377" s="173"/>
      <c r="D377" s="111"/>
      <c r="E377" s="111"/>
      <c r="F377" s="108"/>
      <c r="G377" s="112"/>
      <c r="I377" s="110"/>
      <c r="K377" s="110"/>
    </row>
    <row r="378" ht="15.75" customHeight="1">
      <c r="B378" s="173"/>
      <c r="D378" s="111"/>
      <c r="E378" s="111"/>
      <c r="F378" s="108"/>
      <c r="G378" s="112"/>
      <c r="I378" s="110"/>
      <c r="K378" s="110"/>
    </row>
    <row r="379" ht="15.75" customHeight="1">
      <c r="B379" s="173"/>
      <c r="D379" s="111"/>
      <c r="E379" s="111"/>
      <c r="F379" s="108"/>
      <c r="G379" s="112"/>
      <c r="I379" s="110"/>
      <c r="K379" s="110"/>
    </row>
    <row r="380" ht="15.75" customHeight="1">
      <c r="B380" s="173"/>
      <c r="D380" s="111"/>
      <c r="E380" s="111"/>
      <c r="F380" s="108"/>
      <c r="G380" s="112"/>
      <c r="I380" s="110"/>
      <c r="K380" s="110"/>
    </row>
    <row r="381" ht="15.75" customHeight="1">
      <c r="B381" s="173"/>
      <c r="D381" s="111"/>
      <c r="E381" s="111"/>
      <c r="F381" s="108"/>
      <c r="G381" s="112"/>
      <c r="I381" s="110"/>
      <c r="K381" s="110"/>
    </row>
    <row r="382" ht="15.75" customHeight="1">
      <c r="B382" s="173"/>
      <c r="D382" s="111"/>
      <c r="E382" s="111"/>
      <c r="F382" s="108"/>
      <c r="G382" s="112"/>
      <c r="I382" s="110"/>
      <c r="K382" s="110"/>
    </row>
    <row r="383" ht="15.75" customHeight="1">
      <c r="B383" s="173"/>
      <c r="D383" s="111"/>
      <c r="E383" s="111"/>
      <c r="F383" s="108"/>
      <c r="G383" s="112"/>
      <c r="I383" s="110"/>
      <c r="K383" s="110"/>
    </row>
    <row r="384" ht="15.75" customHeight="1">
      <c r="B384" s="173"/>
      <c r="D384" s="111"/>
      <c r="E384" s="111"/>
      <c r="F384" s="108"/>
      <c r="G384" s="112"/>
      <c r="I384" s="110"/>
      <c r="K384" s="110"/>
    </row>
    <row r="385" ht="15.75" customHeight="1">
      <c r="B385" s="173"/>
      <c r="D385" s="111"/>
      <c r="E385" s="111"/>
      <c r="F385" s="108"/>
      <c r="G385" s="112"/>
      <c r="I385" s="110"/>
      <c r="K385" s="110"/>
    </row>
    <row r="386" ht="15.75" customHeight="1">
      <c r="B386" s="173"/>
      <c r="D386" s="111"/>
      <c r="E386" s="111"/>
      <c r="F386" s="108"/>
      <c r="G386" s="112"/>
      <c r="I386" s="110"/>
      <c r="K386" s="110"/>
    </row>
    <row r="387" ht="15.75" customHeight="1">
      <c r="B387" s="173"/>
      <c r="D387" s="111"/>
      <c r="E387" s="111"/>
      <c r="F387" s="108"/>
      <c r="G387" s="112"/>
      <c r="I387" s="110"/>
      <c r="K387" s="110"/>
    </row>
    <row r="388" ht="15.75" customHeight="1">
      <c r="B388" s="173"/>
      <c r="D388" s="111"/>
      <c r="E388" s="111"/>
      <c r="F388" s="108"/>
      <c r="G388" s="112"/>
      <c r="I388" s="110"/>
      <c r="K388" s="110"/>
    </row>
    <row r="389" ht="15.75" customHeight="1">
      <c r="B389" s="173"/>
      <c r="D389" s="111"/>
      <c r="E389" s="111"/>
      <c r="F389" s="108"/>
      <c r="G389" s="112"/>
      <c r="I389" s="110"/>
      <c r="K389" s="110"/>
    </row>
    <row r="390" ht="15.75" customHeight="1">
      <c r="B390" s="173"/>
      <c r="D390" s="111"/>
      <c r="E390" s="111"/>
      <c r="F390" s="108"/>
      <c r="G390" s="112"/>
      <c r="I390" s="110"/>
      <c r="K390" s="110"/>
    </row>
    <row r="391" ht="15.75" customHeight="1">
      <c r="B391" s="173"/>
      <c r="D391" s="111"/>
      <c r="E391" s="111"/>
      <c r="F391" s="108"/>
      <c r="G391" s="112"/>
      <c r="I391" s="110"/>
      <c r="K391" s="110"/>
    </row>
    <row r="392" ht="15.75" customHeight="1">
      <c r="B392" s="173"/>
      <c r="D392" s="111"/>
      <c r="E392" s="111"/>
      <c r="F392" s="108"/>
      <c r="G392" s="112"/>
      <c r="I392" s="110"/>
      <c r="K392" s="110"/>
    </row>
    <row r="393" ht="15.75" customHeight="1">
      <c r="B393" s="173"/>
      <c r="D393" s="111"/>
      <c r="E393" s="111"/>
      <c r="F393" s="108"/>
      <c r="G393" s="112"/>
      <c r="I393" s="110"/>
      <c r="K393" s="110"/>
    </row>
    <row r="394" ht="15.75" customHeight="1">
      <c r="B394" s="173"/>
      <c r="D394" s="111"/>
      <c r="E394" s="111"/>
      <c r="F394" s="108"/>
      <c r="G394" s="112"/>
      <c r="I394" s="110"/>
      <c r="K394" s="110"/>
    </row>
    <row r="395" ht="15.75" customHeight="1">
      <c r="B395" s="173"/>
      <c r="D395" s="111"/>
      <c r="E395" s="111"/>
      <c r="F395" s="108"/>
      <c r="G395" s="112"/>
      <c r="I395" s="110"/>
      <c r="K395" s="110"/>
    </row>
    <row r="396" ht="15.75" customHeight="1">
      <c r="B396" s="173"/>
      <c r="D396" s="111"/>
      <c r="E396" s="111"/>
      <c r="F396" s="108"/>
      <c r="G396" s="112"/>
      <c r="I396" s="110"/>
      <c r="K396" s="110"/>
    </row>
    <row r="397" ht="15.75" customHeight="1">
      <c r="B397" s="173"/>
      <c r="D397" s="111"/>
      <c r="E397" s="111"/>
      <c r="F397" s="108"/>
      <c r="G397" s="112"/>
      <c r="I397" s="110"/>
      <c r="K397" s="110"/>
    </row>
    <row r="398" ht="15.75" customHeight="1">
      <c r="B398" s="173"/>
      <c r="D398" s="111"/>
      <c r="E398" s="111"/>
      <c r="F398" s="108"/>
      <c r="G398" s="112"/>
      <c r="I398" s="110"/>
      <c r="K398" s="110"/>
    </row>
    <row r="399" ht="15.75" customHeight="1">
      <c r="B399" s="173"/>
      <c r="D399" s="111"/>
      <c r="E399" s="111"/>
      <c r="F399" s="108"/>
      <c r="G399" s="112"/>
      <c r="I399" s="110"/>
      <c r="K399" s="110"/>
    </row>
    <row r="400" ht="15.75" customHeight="1">
      <c r="B400" s="173"/>
      <c r="D400" s="111"/>
      <c r="E400" s="111"/>
      <c r="F400" s="108"/>
      <c r="G400" s="112"/>
      <c r="I400" s="110"/>
      <c r="K400" s="110"/>
    </row>
    <row r="401" ht="15.75" customHeight="1">
      <c r="B401" s="173"/>
      <c r="D401" s="111"/>
      <c r="E401" s="111"/>
      <c r="F401" s="108"/>
      <c r="G401" s="112"/>
      <c r="I401" s="110"/>
      <c r="K401" s="110"/>
    </row>
    <row r="402" ht="15.75" customHeight="1">
      <c r="B402" s="173"/>
      <c r="D402" s="111"/>
      <c r="E402" s="111"/>
      <c r="F402" s="108"/>
      <c r="G402" s="112"/>
      <c r="I402" s="110"/>
      <c r="K402" s="110"/>
    </row>
    <row r="403" ht="15.75" customHeight="1">
      <c r="B403" s="173"/>
      <c r="D403" s="111"/>
      <c r="E403" s="111"/>
      <c r="F403" s="108"/>
      <c r="G403" s="112"/>
      <c r="I403" s="110"/>
      <c r="K403" s="110"/>
    </row>
    <row r="404" ht="15.75" customHeight="1">
      <c r="B404" s="173"/>
      <c r="D404" s="111"/>
      <c r="E404" s="111"/>
      <c r="F404" s="108"/>
      <c r="G404" s="112"/>
      <c r="I404" s="110"/>
      <c r="K404" s="110"/>
    </row>
    <row r="405" ht="15.75" customHeight="1">
      <c r="B405" s="173"/>
      <c r="D405" s="111"/>
      <c r="E405" s="111"/>
      <c r="F405" s="108"/>
      <c r="G405" s="112"/>
      <c r="I405" s="110"/>
      <c r="K405" s="110"/>
    </row>
    <row r="406" ht="15.75" customHeight="1">
      <c r="B406" s="173"/>
      <c r="D406" s="111"/>
      <c r="E406" s="111"/>
      <c r="F406" s="108"/>
      <c r="G406" s="112"/>
      <c r="I406" s="110"/>
      <c r="K406" s="110"/>
    </row>
    <row r="407" ht="15.75" customHeight="1">
      <c r="B407" s="173"/>
      <c r="D407" s="111"/>
      <c r="E407" s="111"/>
      <c r="F407" s="108"/>
      <c r="G407" s="112"/>
      <c r="I407" s="110"/>
      <c r="K407" s="110"/>
    </row>
    <row r="408" ht="15.75" customHeight="1">
      <c r="B408" s="173"/>
      <c r="D408" s="111"/>
      <c r="E408" s="111"/>
      <c r="F408" s="108"/>
      <c r="G408" s="112"/>
      <c r="I408" s="110"/>
      <c r="K408" s="110"/>
    </row>
    <row r="409" ht="15.75" customHeight="1">
      <c r="B409" s="173"/>
      <c r="D409" s="111"/>
      <c r="E409" s="111"/>
      <c r="F409" s="108"/>
      <c r="G409" s="112"/>
      <c r="I409" s="110"/>
      <c r="K409" s="110"/>
    </row>
    <row r="410" ht="15.75" customHeight="1">
      <c r="B410" s="173"/>
      <c r="D410" s="111"/>
      <c r="E410" s="111"/>
      <c r="F410" s="108"/>
      <c r="G410" s="112"/>
      <c r="I410" s="110"/>
      <c r="K410" s="110"/>
    </row>
    <row r="411" ht="15.75" customHeight="1">
      <c r="B411" s="173"/>
      <c r="D411" s="111"/>
      <c r="E411" s="111"/>
      <c r="F411" s="108"/>
      <c r="G411" s="112"/>
      <c r="I411" s="110"/>
      <c r="K411" s="110"/>
    </row>
    <row r="412" ht="15.75" customHeight="1">
      <c r="B412" s="173"/>
      <c r="D412" s="111"/>
      <c r="E412" s="111"/>
      <c r="F412" s="108"/>
      <c r="G412" s="112"/>
      <c r="I412" s="110"/>
      <c r="K412" s="110"/>
    </row>
    <row r="413" ht="15.75" customHeight="1">
      <c r="B413" s="173"/>
      <c r="D413" s="111"/>
      <c r="E413" s="111"/>
      <c r="F413" s="108"/>
      <c r="G413" s="112"/>
      <c r="I413" s="110"/>
      <c r="K413" s="110"/>
    </row>
    <row r="414" ht="15.75" customHeight="1">
      <c r="B414" s="173"/>
      <c r="D414" s="111"/>
      <c r="E414" s="111"/>
      <c r="F414" s="108"/>
      <c r="G414" s="112"/>
      <c r="I414" s="110"/>
      <c r="K414" s="110"/>
    </row>
    <row r="415" ht="15.75" customHeight="1">
      <c r="B415" s="173"/>
      <c r="D415" s="111"/>
      <c r="E415" s="111"/>
      <c r="F415" s="108"/>
      <c r="G415" s="112"/>
      <c r="I415" s="110"/>
      <c r="K415" s="110"/>
    </row>
    <row r="416" ht="15.75" customHeight="1">
      <c r="B416" s="173"/>
      <c r="D416" s="111"/>
      <c r="E416" s="111"/>
      <c r="F416" s="108"/>
      <c r="G416" s="112"/>
      <c r="I416" s="110"/>
      <c r="K416" s="110"/>
    </row>
    <row r="417" ht="15.75" customHeight="1">
      <c r="B417" s="173"/>
      <c r="D417" s="111"/>
      <c r="E417" s="111"/>
      <c r="F417" s="108"/>
      <c r="G417" s="112"/>
      <c r="I417" s="110"/>
      <c r="K417" s="110"/>
    </row>
    <row r="418" ht="15.75" customHeight="1">
      <c r="B418" s="173"/>
      <c r="D418" s="111"/>
      <c r="E418" s="111"/>
      <c r="F418" s="108"/>
      <c r="G418" s="112"/>
      <c r="I418" s="110"/>
      <c r="K418" s="110"/>
    </row>
    <row r="419" ht="15.75" customHeight="1">
      <c r="B419" s="173"/>
      <c r="D419" s="111"/>
      <c r="E419" s="111"/>
      <c r="F419" s="108"/>
      <c r="G419" s="112"/>
      <c r="I419" s="110"/>
      <c r="K419" s="110"/>
    </row>
    <row r="420" ht="15.75" customHeight="1">
      <c r="B420" s="173"/>
      <c r="D420" s="111"/>
      <c r="E420" s="111"/>
      <c r="F420" s="108"/>
      <c r="G420" s="112"/>
      <c r="I420" s="110"/>
      <c r="K420" s="110"/>
    </row>
    <row r="421" ht="15.75" customHeight="1">
      <c r="B421" s="173"/>
      <c r="D421" s="111"/>
      <c r="E421" s="111"/>
      <c r="F421" s="108"/>
      <c r="G421" s="112"/>
      <c r="I421" s="110"/>
      <c r="K421" s="110"/>
    </row>
    <row r="422" ht="15.75" customHeight="1">
      <c r="B422" s="173"/>
      <c r="D422" s="111"/>
      <c r="E422" s="111"/>
      <c r="F422" s="108"/>
      <c r="G422" s="112"/>
      <c r="I422" s="110"/>
      <c r="K422" s="110"/>
    </row>
    <row r="423" ht="15.75" customHeight="1">
      <c r="B423" s="173"/>
      <c r="D423" s="111"/>
      <c r="E423" s="111"/>
      <c r="F423" s="108"/>
      <c r="G423" s="112"/>
      <c r="I423" s="110"/>
      <c r="K423" s="110"/>
    </row>
    <row r="424" ht="15.75" customHeight="1">
      <c r="B424" s="173"/>
      <c r="D424" s="111"/>
      <c r="E424" s="111"/>
      <c r="F424" s="108"/>
      <c r="G424" s="112"/>
      <c r="I424" s="110"/>
      <c r="K424" s="110"/>
    </row>
    <row r="425" ht="15.75" customHeight="1">
      <c r="B425" s="173"/>
      <c r="D425" s="111"/>
      <c r="E425" s="111"/>
      <c r="F425" s="108"/>
      <c r="G425" s="112"/>
      <c r="I425" s="110"/>
      <c r="K425" s="110"/>
    </row>
    <row r="426" ht="15.75" customHeight="1">
      <c r="B426" s="173"/>
      <c r="D426" s="111"/>
      <c r="E426" s="111"/>
      <c r="F426" s="108"/>
      <c r="G426" s="112"/>
      <c r="I426" s="110"/>
      <c r="K426" s="110"/>
    </row>
    <row r="427" ht="15.75" customHeight="1">
      <c r="B427" s="173"/>
      <c r="D427" s="111"/>
      <c r="E427" s="111"/>
      <c r="F427" s="108"/>
      <c r="G427" s="112"/>
      <c r="I427" s="110"/>
      <c r="K427" s="110"/>
    </row>
    <row r="428" ht="15.75" customHeight="1">
      <c r="B428" s="173"/>
      <c r="D428" s="111"/>
      <c r="E428" s="111"/>
      <c r="F428" s="108"/>
      <c r="G428" s="112"/>
      <c r="I428" s="110"/>
      <c r="K428" s="110"/>
    </row>
    <row r="429" ht="15.75" customHeight="1">
      <c r="B429" s="173"/>
      <c r="D429" s="111"/>
      <c r="E429" s="111"/>
      <c r="F429" s="108"/>
      <c r="G429" s="112"/>
      <c r="I429" s="110"/>
      <c r="K429" s="110"/>
    </row>
    <row r="430" ht="15.75" customHeight="1">
      <c r="B430" s="173"/>
      <c r="D430" s="111"/>
      <c r="E430" s="111"/>
      <c r="F430" s="108"/>
      <c r="G430" s="112"/>
      <c r="I430" s="110"/>
      <c r="K430" s="110"/>
    </row>
    <row r="431" ht="15.75" customHeight="1">
      <c r="B431" s="173"/>
      <c r="D431" s="111"/>
      <c r="E431" s="111"/>
      <c r="F431" s="108"/>
      <c r="G431" s="112"/>
      <c r="I431" s="110"/>
      <c r="K431" s="110"/>
    </row>
    <row r="432" ht="15.75" customHeight="1">
      <c r="B432" s="173"/>
      <c r="D432" s="111"/>
      <c r="E432" s="111"/>
      <c r="F432" s="108"/>
      <c r="G432" s="112"/>
      <c r="I432" s="110"/>
      <c r="K432" s="110"/>
    </row>
    <row r="433" ht="15.75" customHeight="1">
      <c r="B433" s="173"/>
      <c r="D433" s="111"/>
      <c r="E433" s="111"/>
      <c r="F433" s="108"/>
      <c r="G433" s="112"/>
      <c r="I433" s="110"/>
      <c r="K433" s="110"/>
    </row>
    <row r="434" ht="15.75" customHeight="1">
      <c r="B434" s="173"/>
      <c r="D434" s="111"/>
      <c r="E434" s="111"/>
      <c r="F434" s="108"/>
      <c r="G434" s="112"/>
      <c r="I434" s="110"/>
      <c r="K434" s="110"/>
    </row>
    <row r="435" ht="15.75" customHeight="1">
      <c r="B435" s="173"/>
      <c r="D435" s="111"/>
      <c r="E435" s="111"/>
      <c r="F435" s="108"/>
      <c r="G435" s="112"/>
      <c r="I435" s="110"/>
      <c r="K435" s="110"/>
    </row>
    <row r="436" ht="15.75" customHeight="1">
      <c r="B436" s="173"/>
      <c r="D436" s="111"/>
      <c r="E436" s="111"/>
      <c r="F436" s="108"/>
      <c r="G436" s="112"/>
      <c r="I436" s="110"/>
      <c r="K436" s="110"/>
    </row>
    <row r="437" ht="15.75" customHeight="1">
      <c r="B437" s="173"/>
      <c r="D437" s="111"/>
      <c r="E437" s="111"/>
      <c r="F437" s="108"/>
      <c r="G437" s="112"/>
      <c r="I437" s="110"/>
      <c r="K437" s="110"/>
    </row>
    <row r="438" ht="15.75" customHeight="1">
      <c r="B438" s="173"/>
      <c r="D438" s="111"/>
      <c r="E438" s="111"/>
      <c r="F438" s="108"/>
      <c r="G438" s="112"/>
      <c r="I438" s="110"/>
      <c r="K438" s="110"/>
    </row>
    <row r="439" ht="15.75" customHeight="1">
      <c r="B439" s="173"/>
      <c r="D439" s="111"/>
      <c r="E439" s="111"/>
      <c r="F439" s="108"/>
      <c r="G439" s="112"/>
      <c r="I439" s="110"/>
      <c r="K439" s="110"/>
    </row>
    <row r="440" ht="15.75" customHeight="1">
      <c r="B440" s="173"/>
      <c r="D440" s="111"/>
      <c r="E440" s="111"/>
      <c r="F440" s="108"/>
      <c r="G440" s="112"/>
      <c r="I440" s="110"/>
      <c r="K440" s="110"/>
    </row>
    <row r="441" ht="15.75" customHeight="1">
      <c r="B441" s="173"/>
      <c r="D441" s="111"/>
      <c r="E441" s="111"/>
      <c r="F441" s="108"/>
      <c r="G441" s="112"/>
      <c r="I441" s="110"/>
      <c r="K441" s="110"/>
    </row>
    <row r="442" ht="15.75" customHeight="1">
      <c r="B442" s="173"/>
      <c r="D442" s="111"/>
      <c r="E442" s="111"/>
      <c r="F442" s="108"/>
      <c r="G442" s="112"/>
      <c r="I442" s="110"/>
      <c r="K442" s="110"/>
    </row>
    <row r="443" ht="15.75" customHeight="1">
      <c r="B443" s="173"/>
      <c r="D443" s="111"/>
      <c r="E443" s="111"/>
      <c r="F443" s="108"/>
      <c r="G443" s="112"/>
      <c r="I443" s="110"/>
      <c r="K443" s="110"/>
    </row>
    <row r="444" ht="15.75" customHeight="1">
      <c r="B444" s="173"/>
      <c r="D444" s="111"/>
      <c r="E444" s="111"/>
      <c r="F444" s="108"/>
      <c r="G444" s="112"/>
      <c r="I444" s="110"/>
      <c r="K444" s="110"/>
    </row>
    <row r="445" ht="15.75" customHeight="1">
      <c r="B445" s="173"/>
      <c r="D445" s="111"/>
      <c r="E445" s="111"/>
      <c r="F445" s="108"/>
      <c r="G445" s="112"/>
      <c r="I445" s="110"/>
      <c r="K445" s="110"/>
    </row>
    <row r="446" ht="15.75" customHeight="1">
      <c r="B446" s="173"/>
      <c r="D446" s="111"/>
      <c r="E446" s="111"/>
      <c r="F446" s="108"/>
      <c r="G446" s="112"/>
      <c r="I446" s="110"/>
      <c r="K446" s="110"/>
    </row>
    <row r="447" ht="15.75" customHeight="1">
      <c r="B447" s="173"/>
      <c r="D447" s="111"/>
      <c r="E447" s="111"/>
      <c r="F447" s="108"/>
      <c r="G447" s="112"/>
      <c r="I447" s="110"/>
      <c r="K447" s="110"/>
    </row>
    <row r="448" ht="15.75" customHeight="1">
      <c r="B448" s="173"/>
      <c r="D448" s="111"/>
      <c r="E448" s="111"/>
      <c r="F448" s="108"/>
      <c r="G448" s="112"/>
      <c r="I448" s="110"/>
      <c r="K448" s="110"/>
    </row>
    <row r="449" ht="15.75" customHeight="1">
      <c r="B449" s="173"/>
      <c r="D449" s="111"/>
      <c r="E449" s="111"/>
      <c r="F449" s="108"/>
      <c r="G449" s="112"/>
      <c r="I449" s="110"/>
      <c r="K449" s="110"/>
    </row>
    <row r="450" ht="15.75" customHeight="1">
      <c r="B450" s="173"/>
      <c r="D450" s="111"/>
      <c r="E450" s="111"/>
      <c r="F450" s="108"/>
      <c r="G450" s="112"/>
      <c r="I450" s="110"/>
      <c r="K450" s="110"/>
    </row>
    <row r="451" ht="15.75" customHeight="1">
      <c r="B451" s="173"/>
      <c r="D451" s="111"/>
      <c r="E451" s="111"/>
      <c r="F451" s="108"/>
      <c r="G451" s="112"/>
      <c r="I451" s="110"/>
      <c r="K451" s="110"/>
    </row>
    <row r="452" ht="15.75" customHeight="1">
      <c r="B452" s="173"/>
      <c r="D452" s="111"/>
      <c r="E452" s="111"/>
      <c r="F452" s="108"/>
      <c r="G452" s="112"/>
      <c r="I452" s="110"/>
      <c r="K452" s="110"/>
    </row>
    <row r="453" ht="15.75" customHeight="1">
      <c r="B453" s="173"/>
      <c r="D453" s="111"/>
      <c r="E453" s="111"/>
      <c r="F453" s="108"/>
      <c r="G453" s="112"/>
      <c r="I453" s="110"/>
      <c r="K453" s="110"/>
    </row>
    <row r="454" ht="15.75" customHeight="1">
      <c r="B454" s="173"/>
      <c r="D454" s="111"/>
      <c r="E454" s="111"/>
      <c r="F454" s="108"/>
      <c r="G454" s="112"/>
      <c r="I454" s="110"/>
      <c r="K454" s="110"/>
    </row>
    <row r="455" ht="15.75" customHeight="1">
      <c r="B455" s="173"/>
      <c r="D455" s="111"/>
      <c r="E455" s="111"/>
      <c r="F455" s="108"/>
      <c r="G455" s="112"/>
      <c r="I455" s="110"/>
      <c r="K455" s="110"/>
    </row>
    <row r="456" ht="15.75" customHeight="1">
      <c r="B456" s="173"/>
      <c r="D456" s="111"/>
      <c r="E456" s="111"/>
      <c r="F456" s="108"/>
      <c r="G456" s="112"/>
      <c r="I456" s="110"/>
      <c r="K456" s="110"/>
    </row>
    <row r="457" ht="15.75" customHeight="1">
      <c r="B457" s="173"/>
      <c r="D457" s="111"/>
      <c r="E457" s="111"/>
      <c r="F457" s="108"/>
      <c r="G457" s="112"/>
      <c r="I457" s="110"/>
      <c r="K457" s="110"/>
    </row>
    <row r="458" ht="15.75" customHeight="1">
      <c r="B458" s="173"/>
      <c r="D458" s="111"/>
      <c r="E458" s="111"/>
      <c r="F458" s="108"/>
      <c r="G458" s="112"/>
      <c r="I458" s="110"/>
      <c r="K458" s="110"/>
    </row>
    <row r="459" ht="15.75" customHeight="1">
      <c r="B459" s="173"/>
      <c r="D459" s="111"/>
      <c r="E459" s="111"/>
      <c r="F459" s="108"/>
      <c r="G459" s="112"/>
      <c r="I459" s="110"/>
      <c r="K459" s="110"/>
    </row>
    <row r="460" ht="15.75" customHeight="1">
      <c r="B460" s="173"/>
      <c r="D460" s="111"/>
      <c r="E460" s="111"/>
      <c r="F460" s="108"/>
      <c r="G460" s="112"/>
      <c r="I460" s="110"/>
      <c r="K460" s="110"/>
    </row>
    <row r="461" ht="15.75" customHeight="1">
      <c r="B461" s="173"/>
      <c r="D461" s="111"/>
      <c r="E461" s="111"/>
      <c r="F461" s="108"/>
      <c r="G461" s="112"/>
      <c r="I461" s="110"/>
      <c r="K461" s="110"/>
    </row>
    <row r="462" ht="15.75" customHeight="1">
      <c r="B462" s="173"/>
      <c r="D462" s="111"/>
      <c r="E462" s="111"/>
      <c r="F462" s="108"/>
      <c r="G462" s="112"/>
      <c r="I462" s="110"/>
      <c r="K462" s="110"/>
    </row>
    <row r="463" ht="15.75" customHeight="1">
      <c r="B463" s="173"/>
      <c r="D463" s="111"/>
      <c r="E463" s="111"/>
      <c r="F463" s="108"/>
      <c r="G463" s="112"/>
      <c r="I463" s="110"/>
      <c r="K463" s="110"/>
    </row>
    <row r="464" ht="15.75" customHeight="1">
      <c r="B464" s="173"/>
      <c r="D464" s="111"/>
      <c r="E464" s="111"/>
      <c r="F464" s="108"/>
      <c r="G464" s="112"/>
      <c r="I464" s="110"/>
      <c r="K464" s="110"/>
    </row>
    <row r="465" ht="15.75" customHeight="1">
      <c r="B465" s="173"/>
      <c r="D465" s="111"/>
      <c r="E465" s="111"/>
      <c r="F465" s="108"/>
      <c r="G465" s="112"/>
      <c r="I465" s="110"/>
      <c r="K465" s="110"/>
    </row>
    <row r="466" ht="15.75" customHeight="1">
      <c r="B466" s="173"/>
      <c r="D466" s="111"/>
      <c r="E466" s="111"/>
      <c r="F466" s="108"/>
      <c r="G466" s="112"/>
      <c r="I466" s="110"/>
      <c r="K466" s="110"/>
    </row>
    <row r="467" ht="15.75" customHeight="1">
      <c r="B467" s="173"/>
      <c r="D467" s="111"/>
      <c r="E467" s="111"/>
      <c r="F467" s="108"/>
      <c r="G467" s="112"/>
      <c r="I467" s="110"/>
      <c r="K467" s="110"/>
    </row>
    <row r="468" ht="15.75" customHeight="1">
      <c r="B468" s="173"/>
      <c r="D468" s="111"/>
      <c r="E468" s="111"/>
      <c r="F468" s="108"/>
      <c r="G468" s="112"/>
      <c r="I468" s="110"/>
      <c r="K468" s="110"/>
    </row>
    <row r="469" ht="15.75" customHeight="1">
      <c r="B469" s="173"/>
      <c r="D469" s="111"/>
      <c r="E469" s="111"/>
      <c r="F469" s="108"/>
      <c r="G469" s="112"/>
      <c r="I469" s="110"/>
      <c r="K469" s="110"/>
    </row>
    <row r="470" ht="15.75" customHeight="1">
      <c r="B470" s="173"/>
      <c r="D470" s="111"/>
      <c r="E470" s="111"/>
      <c r="F470" s="108"/>
      <c r="G470" s="112"/>
      <c r="I470" s="110"/>
      <c r="K470" s="110"/>
    </row>
    <row r="471" ht="15.75" customHeight="1">
      <c r="B471" s="173"/>
      <c r="D471" s="111"/>
      <c r="E471" s="111"/>
      <c r="F471" s="108"/>
      <c r="G471" s="112"/>
      <c r="I471" s="110"/>
      <c r="K471" s="110"/>
    </row>
    <row r="472" ht="15.75" customHeight="1">
      <c r="B472" s="173"/>
      <c r="D472" s="111"/>
      <c r="E472" s="111"/>
      <c r="F472" s="108"/>
      <c r="G472" s="112"/>
      <c r="I472" s="110"/>
      <c r="K472" s="110"/>
    </row>
    <row r="473" ht="15.75" customHeight="1">
      <c r="B473" s="173"/>
      <c r="D473" s="111"/>
      <c r="E473" s="111"/>
      <c r="F473" s="108"/>
      <c r="G473" s="112"/>
      <c r="I473" s="110"/>
      <c r="K473" s="110"/>
    </row>
    <row r="474" ht="15.75" customHeight="1">
      <c r="B474" s="173"/>
      <c r="D474" s="111"/>
      <c r="E474" s="111"/>
      <c r="F474" s="108"/>
      <c r="G474" s="112"/>
      <c r="I474" s="110"/>
      <c r="K474" s="110"/>
    </row>
    <row r="475" ht="15.75" customHeight="1">
      <c r="B475" s="173"/>
      <c r="D475" s="111"/>
      <c r="E475" s="111"/>
      <c r="F475" s="108"/>
      <c r="G475" s="112"/>
      <c r="I475" s="110"/>
      <c r="K475" s="110"/>
    </row>
    <row r="476" ht="15.75" customHeight="1">
      <c r="B476" s="173"/>
      <c r="D476" s="111"/>
      <c r="E476" s="111"/>
      <c r="F476" s="108"/>
      <c r="G476" s="112"/>
      <c r="I476" s="110"/>
      <c r="K476" s="110"/>
    </row>
    <row r="477" ht="15.75" customHeight="1">
      <c r="B477" s="173"/>
      <c r="D477" s="111"/>
      <c r="E477" s="111"/>
      <c r="F477" s="108"/>
      <c r="G477" s="112"/>
      <c r="I477" s="110"/>
      <c r="K477" s="110"/>
    </row>
    <row r="478" ht="15.75" customHeight="1">
      <c r="B478" s="173"/>
      <c r="D478" s="111"/>
      <c r="E478" s="111"/>
      <c r="F478" s="108"/>
      <c r="G478" s="112"/>
      <c r="I478" s="110"/>
      <c r="K478" s="110"/>
    </row>
    <row r="479" ht="15.75" customHeight="1">
      <c r="B479" s="173"/>
      <c r="D479" s="111"/>
      <c r="E479" s="111"/>
      <c r="F479" s="108"/>
      <c r="G479" s="112"/>
      <c r="I479" s="110"/>
      <c r="K479" s="110"/>
    </row>
    <row r="480" ht="15.75" customHeight="1">
      <c r="B480" s="173"/>
      <c r="D480" s="111"/>
      <c r="E480" s="111"/>
      <c r="F480" s="108"/>
      <c r="G480" s="112"/>
      <c r="I480" s="110"/>
      <c r="K480" s="110"/>
    </row>
    <row r="481" ht="15.75" customHeight="1">
      <c r="B481" s="173"/>
      <c r="D481" s="111"/>
      <c r="E481" s="111"/>
      <c r="F481" s="108"/>
      <c r="G481" s="112"/>
      <c r="I481" s="110"/>
      <c r="K481" s="110"/>
    </row>
    <row r="482" ht="15.75" customHeight="1">
      <c r="B482" s="173"/>
      <c r="D482" s="111"/>
      <c r="E482" s="111"/>
      <c r="F482" s="108"/>
      <c r="G482" s="112"/>
      <c r="I482" s="110"/>
      <c r="K482" s="110"/>
    </row>
    <row r="483" ht="15.75" customHeight="1">
      <c r="B483" s="173"/>
      <c r="D483" s="111"/>
      <c r="E483" s="111"/>
      <c r="F483" s="108"/>
      <c r="G483" s="112"/>
      <c r="I483" s="110"/>
      <c r="K483" s="110"/>
    </row>
    <row r="484" ht="15.75" customHeight="1">
      <c r="B484" s="173"/>
      <c r="D484" s="111"/>
      <c r="E484" s="111"/>
      <c r="F484" s="108"/>
      <c r="G484" s="112"/>
      <c r="I484" s="110"/>
      <c r="K484" s="110"/>
    </row>
    <row r="485" ht="15.75" customHeight="1">
      <c r="B485" s="173"/>
      <c r="D485" s="111"/>
      <c r="E485" s="111"/>
      <c r="F485" s="108"/>
      <c r="G485" s="112"/>
      <c r="I485" s="110"/>
      <c r="K485" s="110"/>
    </row>
    <row r="486" ht="15.75" customHeight="1">
      <c r="B486" s="173"/>
      <c r="D486" s="111"/>
      <c r="E486" s="111"/>
      <c r="F486" s="108"/>
      <c r="G486" s="112"/>
      <c r="I486" s="110"/>
      <c r="K486" s="110"/>
    </row>
    <row r="487" ht="15.75" customHeight="1">
      <c r="B487" s="173"/>
      <c r="D487" s="111"/>
      <c r="E487" s="111"/>
      <c r="F487" s="108"/>
      <c r="G487" s="112"/>
      <c r="I487" s="110"/>
      <c r="K487" s="110"/>
    </row>
    <row r="488" ht="15.75" customHeight="1">
      <c r="B488" s="173"/>
      <c r="D488" s="111"/>
      <c r="E488" s="111"/>
      <c r="F488" s="108"/>
      <c r="G488" s="112"/>
      <c r="I488" s="110"/>
      <c r="K488" s="110"/>
    </row>
    <row r="489" ht="15.75" customHeight="1">
      <c r="B489" s="173"/>
      <c r="D489" s="111"/>
      <c r="E489" s="111"/>
      <c r="F489" s="108"/>
      <c r="G489" s="112"/>
      <c r="I489" s="110"/>
      <c r="K489" s="110"/>
    </row>
    <row r="490" ht="15.75" customHeight="1">
      <c r="B490" s="173"/>
      <c r="D490" s="111"/>
      <c r="E490" s="111"/>
      <c r="F490" s="108"/>
      <c r="G490" s="112"/>
      <c r="I490" s="110"/>
      <c r="K490" s="110"/>
    </row>
    <row r="491" ht="15.75" customHeight="1">
      <c r="B491" s="173"/>
      <c r="D491" s="111"/>
      <c r="E491" s="111"/>
      <c r="F491" s="108"/>
      <c r="G491" s="112"/>
      <c r="I491" s="110"/>
      <c r="K491" s="110"/>
    </row>
    <row r="492" ht="15.75" customHeight="1">
      <c r="B492" s="173"/>
      <c r="D492" s="111"/>
      <c r="E492" s="111"/>
      <c r="F492" s="108"/>
      <c r="G492" s="112"/>
      <c r="I492" s="110"/>
      <c r="K492" s="110"/>
    </row>
    <row r="493" ht="15.75" customHeight="1">
      <c r="B493" s="173"/>
      <c r="D493" s="111"/>
      <c r="E493" s="111"/>
      <c r="F493" s="108"/>
      <c r="G493" s="112"/>
      <c r="I493" s="110"/>
      <c r="K493" s="110"/>
    </row>
    <row r="494" ht="15.75" customHeight="1">
      <c r="B494" s="173"/>
      <c r="D494" s="111"/>
      <c r="E494" s="111"/>
      <c r="F494" s="108"/>
      <c r="G494" s="112"/>
      <c r="I494" s="110"/>
      <c r="K494" s="110"/>
    </row>
    <row r="495" ht="15.75" customHeight="1">
      <c r="B495" s="173"/>
      <c r="D495" s="111"/>
      <c r="E495" s="111"/>
      <c r="F495" s="108"/>
      <c r="G495" s="112"/>
      <c r="I495" s="110"/>
      <c r="K495" s="110"/>
    </row>
    <row r="496" ht="15.75" customHeight="1">
      <c r="B496" s="173"/>
      <c r="D496" s="111"/>
      <c r="E496" s="111"/>
      <c r="F496" s="108"/>
      <c r="G496" s="112"/>
      <c r="I496" s="110"/>
      <c r="K496" s="110"/>
    </row>
    <row r="497" ht="15.75" customHeight="1">
      <c r="B497" s="173"/>
      <c r="D497" s="111"/>
      <c r="E497" s="111"/>
      <c r="F497" s="108"/>
      <c r="G497" s="112"/>
      <c r="I497" s="110"/>
      <c r="K497" s="110"/>
    </row>
    <row r="498" ht="15.75" customHeight="1">
      <c r="B498" s="173"/>
      <c r="D498" s="111"/>
      <c r="E498" s="111"/>
      <c r="F498" s="108"/>
      <c r="G498" s="112"/>
      <c r="I498" s="110"/>
      <c r="K498" s="110"/>
    </row>
    <row r="499" ht="15.75" customHeight="1">
      <c r="B499" s="173"/>
      <c r="D499" s="111"/>
      <c r="E499" s="111"/>
      <c r="F499" s="108"/>
      <c r="G499" s="112"/>
      <c r="I499" s="110"/>
      <c r="K499" s="110"/>
    </row>
    <row r="500" ht="15.75" customHeight="1">
      <c r="B500" s="173"/>
      <c r="D500" s="111"/>
      <c r="E500" s="111"/>
      <c r="F500" s="108"/>
      <c r="G500" s="112"/>
      <c r="I500" s="110"/>
      <c r="K500" s="110"/>
    </row>
    <row r="501" ht="15.75" customHeight="1">
      <c r="B501" s="173"/>
      <c r="D501" s="111"/>
      <c r="E501" s="111"/>
      <c r="F501" s="108"/>
      <c r="G501" s="112"/>
      <c r="I501" s="110"/>
      <c r="K501" s="110"/>
    </row>
    <row r="502" ht="15.75" customHeight="1">
      <c r="B502" s="173"/>
      <c r="D502" s="111"/>
      <c r="E502" s="111"/>
      <c r="F502" s="108"/>
      <c r="G502" s="112"/>
      <c r="I502" s="110"/>
      <c r="K502" s="110"/>
    </row>
    <row r="503" ht="15.75" customHeight="1">
      <c r="B503" s="173"/>
      <c r="D503" s="111"/>
      <c r="E503" s="111"/>
      <c r="F503" s="108"/>
      <c r="G503" s="112"/>
      <c r="I503" s="110"/>
      <c r="K503" s="110"/>
    </row>
    <row r="504" ht="15.75" customHeight="1">
      <c r="B504" s="173"/>
      <c r="D504" s="111"/>
      <c r="E504" s="111"/>
      <c r="F504" s="108"/>
      <c r="G504" s="112"/>
      <c r="I504" s="110"/>
      <c r="K504" s="110"/>
    </row>
    <row r="505" ht="15.75" customHeight="1">
      <c r="B505" s="173"/>
      <c r="D505" s="111"/>
      <c r="E505" s="111"/>
      <c r="F505" s="108"/>
      <c r="G505" s="112"/>
      <c r="I505" s="110"/>
      <c r="K505" s="110"/>
    </row>
    <row r="506" ht="15.75" customHeight="1">
      <c r="B506" s="173"/>
      <c r="D506" s="111"/>
      <c r="E506" s="111"/>
      <c r="F506" s="108"/>
      <c r="G506" s="112"/>
      <c r="I506" s="110"/>
      <c r="K506" s="110"/>
    </row>
    <row r="507" ht="15.75" customHeight="1">
      <c r="B507" s="173"/>
      <c r="D507" s="111"/>
      <c r="E507" s="111"/>
      <c r="F507" s="108"/>
      <c r="G507" s="112"/>
      <c r="I507" s="110"/>
      <c r="K507" s="110"/>
    </row>
    <row r="508" ht="15.75" customHeight="1">
      <c r="B508" s="173"/>
      <c r="D508" s="111"/>
      <c r="E508" s="111"/>
      <c r="F508" s="108"/>
      <c r="G508" s="112"/>
      <c r="I508" s="110"/>
      <c r="K508" s="110"/>
    </row>
    <row r="509" ht="15.75" customHeight="1">
      <c r="B509" s="173"/>
      <c r="D509" s="111"/>
      <c r="E509" s="111"/>
      <c r="F509" s="108"/>
      <c r="G509" s="112"/>
      <c r="I509" s="110"/>
      <c r="K509" s="110"/>
    </row>
    <row r="510" ht="15.75" customHeight="1">
      <c r="B510" s="173"/>
      <c r="D510" s="111"/>
      <c r="E510" s="111"/>
      <c r="F510" s="108"/>
      <c r="G510" s="112"/>
      <c r="I510" s="110"/>
      <c r="K510" s="110"/>
    </row>
    <row r="511" ht="15.75" customHeight="1">
      <c r="B511" s="173"/>
      <c r="D511" s="111"/>
      <c r="E511" s="111"/>
      <c r="F511" s="108"/>
      <c r="G511" s="112"/>
      <c r="I511" s="110"/>
      <c r="K511" s="110"/>
    </row>
    <row r="512" ht="15.75" customHeight="1">
      <c r="B512" s="173"/>
      <c r="D512" s="111"/>
      <c r="E512" s="111"/>
      <c r="F512" s="108"/>
      <c r="G512" s="112"/>
      <c r="I512" s="110"/>
      <c r="K512" s="110"/>
    </row>
    <row r="513" ht="15.75" customHeight="1">
      <c r="B513" s="173"/>
      <c r="D513" s="111"/>
      <c r="E513" s="111"/>
      <c r="F513" s="108"/>
      <c r="G513" s="112"/>
      <c r="I513" s="110"/>
      <c r="K513" s="110"/>
    </row>
    <row r="514" ht="15.75" customHeight="1">
      <c r="B514" s="173"/>
      <c r="D514" s="111"/>
      <c r="E514" s="111"/>
      <c r="F514" s="108"/>
      <c r="G514" s="112"/>
      <c r="I514" s="110"/>
      <c r="K514" s="110"/>
    </row>
    <row r="515" ht="15.75" customHeight="1">
      <c r="B515" s="173"/>
      <c r="D515" s="111"/>
      <c r="E515" s="111"/>
      <c r="F515" s="108"/>
      <c r="G515" s="112"/>
      <c r="I515" s="110"/>
      <c r="K515" s="110"/>
    </row>
    <row r="516" ht="15.75" customHeight="1">
      <c r="B516" s="173"/>
      <c r="D516" s="111"/>
      <c r="E516" s="111"/>
      <c r="F516" s="108"/>
      <c r="G516" s="112"/>
      <c r="I516" s="110"/>
      <c r="K516" s="110"/>
    </row>
    <row r="517" ht="15.75" customHeight="1">
      <c r="B517" s="173"/>
      <c r="D517" s="111"/>
      <c r="E517" s="111"/>
      <c r="F517" s="108"/>
      <c r="G517" s="112"/>
      <c r="I517" s="110"/>
      <c r="K517" s="110"/>
    </row>
    <row r="518" ht="15.75" customHeight="1">
      <c r="B518" s="173"/>
      <c r="D518" s="111"/>
      <c r="E518" s="111"/>
      <c r="F518" s="108"/>
      <c r="G518" s="112"/>
      <c r="I518" s="110"/>
      <c r="K518" s="110"/>
    </row>
    <row r="519" ht="15.75" customHeight="1">
      <c r="B519" s="173"/>
      <c r="D519" s="111"/>
      <c r="E519" s="111"/>
      <c r="F519" s="108"/>
      <c r="G519" s="112"/>
      <c r="I519" s="110"/>
      <c r="K519" s="110"/>
    </row>
    <row r="520" ht="15.75" customHeight="1">
      <c r="B520" s="173"/>
      <c r="D520" s="111"/>
      <c r="E520" s="111"/>
      <c r="F520" s="108"/>
      <c r="G520" s="112"/>
      <c r="I520" s="110"/>
      <c r="K520" s="110"/>
    </row>
    <row r="521" ht="15.75" customHeight="1">
      <c r="B521" s="173"/>
      <c r="D521" s="111"/>
      <c r="E521" s="111"/>
      <c r="F521" s="108"/>
      <c r="G521" s="112"/>
      <c r="I521" s="110"/>
      <c r="K521" s="110"/>
    </row>
    <row r="522" ht="15.75" customHeight="1">
      <c r="B522" s="173"/>
      <c r="D522" s="111"/>
      <c r="E522" s="111"/>
      <c r="F522" s="108"/>
      <c r="G522" s="112"/>
      <c r="I522" s="110"/>
      <c r="K522" s="110"/>
    </row>
    <row r="523" ht="15.75" customHeight="1">
      <c r="B523" s="173"/>
      <c r="D523" s="111"/>
      <c r="E523" s="111"/>
      <c r="F523" s="108"/>
      <c r="G523" s="112"/>
      <c r="I523" s="110"/>
      <c r="K523" s="110"/>
    </row>
    <row r="524" ht="15.75" customHeight="1">
      <c r="B524" s="173"/>
      <c r="D524" s="111"/>
      <c r="E524" s="111"/>
      <c r="F524" s="108"/>
      <c r="G524" s="112"/>
      <c r="I524" s="110"/>
      <c r="K524" s="110"/>
    </row>
    <row r="525" ht="15.75" customHeight="1">
      <c r="B525" s="173"/>
      <c r="D525" s="111"/>
      <c r="E525" s="111"/>
      <c r="F525" s="108"/>
      <c r="G525" s="112"/>
      <c r="I525" s="110"/>
      <c r="K525" s="110"/>
    </row>
    <row r="526" ht="15.75" customHeight="1">
      <c r="B526" s="173"/>
      <c r="D526" s="111"/>
      <c r="E526" s="111"/>
      <c r="F526" s="108"/>
      <c r="G526" s="112"/>
      <c r="I526" s="110"/>
      <c r="K526" s="110"/>
    </row>
    <row r="527" ht="15.75" customHeight="1">
      <c r="B527" s="173"/>
      <c r="D527" s="111"/>
      <c r="E527" s="111"/>
      <c r="F527" s="108"/>
      <c r="G527" s="112"/>
      <c r="I527" s="110"/>
      <c r="K527" s="110"/>
    </row>
    <row r="528" ht="15.75" customHeight="1">
      <c r="B528" s="173"/>
      <c r="D528" s="111"/>
      <c r="E528" s="111"/>
      <c r="F528" s="108"/>
      <c r="G528" s="112"/>
      <c r="I528" s="110"/>
      <c r="K528" s="110"/>
    </row>
    <row r="529" ht="15.75" customHeight="1">
      <c r="B529" s="173"/>
      <c r="D529" s="111"/>
      <c r="E529" s="111"/>
      <c r="F529" s="108"/>
      <c r="G529" s="112"/>
      <c r="I529" s="110"/>
      <c r="K529" s="110"/>
    </row>
    <row r="530" ht="15.75" customHeight="1">
      <c r="B530" s="173"/>
      <c r="D530" s="111"/>
      <c r="E530" s="111"/>
      <c r="F530" s="108"/>
      <c r="G530" s="112"/>
      <c r="I530" s="110"/>
      <c r="K530" s="110"/>
    </row>
    <row r="531" ht="15.75" customHeight="1">
      <c r="B531" s="173"/>
      <c r="D531" s="111"/>
      <c r="E531" s="111"/>
      <c r="F531" s="108"/>
      <c r="G531" s="112"/>
      <c r="I531" s="110"/>
      <c r="K531" s="110"/>
    </row>
    <row r="532" ht="15.75" customHeight="1">
      <c r="B532" s="173"/>
      <c r="D532" s="111"/>
      <c r="E532" s="111"/>
      <c r="F532" s="108"/>
      <c r="G532" s="112"/>
      <c r="I532" s="110"/>
      <c r="K532" s="110"/>
    </row>
    <row r="533" ht="15.75" customHeight="1">
      <c r="B533" s="173"/>
      <c r="D533" s="111"/>
      <c r="E533" s="111"/>
      <c r="F533" s="108"/>
      <c r="G533" s="112"/>
      <c r="I533" s="110"/>
      <c r="K533" s="110"/>
    </row>
    <row r="534" ht="15.75" customHeight="1">
      <c r="B534" s="173"/>
      <c r="D534" s="111"/>
      <c r="E534" s="111"/>
      <c r="F534" s="108"/>
      <c r="G534" s="112"/>
      <c r="I534" s="110"/>
      <c r="K534" s="110"/>
    </row>
    <row r="535" ht="15.75" customHeight="1">
      <c r="B535" s="173"/>
      <c r="D535" s="111"/>
      <c r="E535" s="111"/>
      <c r="F535" s="108"/>
      <c r="G535" s="112"/>
      <c r="I535" s="110"/>
      <c r="K535" s="110"/>
    </row>
    <row r="536" ht="15.75" customHeight="1">
      <c r="B536" s="173"/>
      <c r="D536" s="111"/>
      <c r="E536" s="111"/>
      <c r="F536" s="108"/>
      <c r="G536" s="112"/>
      <c r="I536" s="110"/>
      <c r="K536" s="110"/>
    </row>
    <row r="537" ht="15.75" customHeight="1">
      <c r="B537" s="173"/>
      <c r="D537" s="111"/>
      <c r="E537" s="111"/>
      <c r="F537" s="108"/>
      <c r="G537" s="112"/>
      <c r="I537" s="110"/>
      <c r="K537" s="110"/>
    </row>
    <row r="538" ht="15.75" customHeight="1">
      <c r="B538" s="173"/>
      <c r="D538" s="111"/>
      <c r="E538" s="111"/>
      <c r="F538" s="108"/>
      <c r="G538" s="112"/>
      <c r="I538" s="110"/>
      <c r="K538" s="110"/>
    </row>
    <row r="539" ht="15.75" customHeight="1">
      <c r="B539" s="173"/>
      <c r="D539" s="111"/>
      <c r="E539" s="111"/>
      <c r="F539" s="108"/>
      <c r="G539" s="112"/>
      <c r="I539" s="110"/>
      <c r="K539" s="110"/>
    </row>
    <row r="540" ht="15.75" customHeight="1">
      <c r="B540" s="173"/>
      <c r="D540" s="111"/>
      <c r="E540" s="111"/>
      <c r="F540" s="108"/>
      <c r="G540" s="112"/>
      <c r="I540" s="110"/>
      <c r="K540" s="110"/>
    </row>
    <row r="541" ht="15.75" customHeight="1">
      <c r="B541" s="173"/>
      <c r="D541" s="111"/>
      <c r="E541" s="111"/>
      <c r="F541" s="108"/>
      <c r="G541" s="112"/>
      <c r="I541" s="110"/>
      <c r="K541" s="110"/>
    </row>
    <row r="542" ht="15.75" customHeight="1">
      <c r="B542" s="173"/>
      <c r="D542" s="111"/>
      <c r="E542" s="111"/>
      <c r="F542" s="108"/>
      <c r="G542" s="112"/>
      <c r="I542" s="110"/>
      <c r="K542" s="110"/>
    </row>
    <row r="543" ht="15.75" customHeight="1">
      <c r="B543" s="173"/>
      <c r="D543" s="111"/>
      <c r="E543" s="111"/>
      <c r="F543" s="108"/>
      <c r="G543" s="112"/>
      <c r="I543" s="110"/>
      <c r="K543" s="110"/>
    </row>
    <row r="544" ht="15.75" customHeight="1">
      <c r="B544" s="173"/>
      <c r="D544" s="111"/>
      <c r="E544" s="111"/>
      <c r="F544" s="108"/>
      <c r="G544" s="112"/>
      <c r="I544" s="110"/>
      <c r="K544" s="110"/>
    </row>
    <row r="545" ht="15.75" customHeight="1">
      <c r="B545" s="173"/>
      <c r="D545" s="111"/>
      <c r="E545" s="111"/>
      <c r="F545" s="108"/>
      <c r="G545" s="112"/>
      <c r="I545" s="110"/>
      <c r="K545" s="110"/>
    </row>
    <row r="546" ht="15.75" customHeight="1">
      <c r="B546" s="173"/>
      <c r="D546" s="111"/>
      <c r="E546" s="111"/>
      <c r="F546" s="108"/>
      <c r="G546" s="112"/>
      <c r="I546" s="110"/>
      <c r="K546" s="110"/>
    </row>
    <row r="547" ht="15.75" customHeight="1">
      <c r="B547" s="173"/>
      <c r="D547" s="111"/>
      <c r="E547" s="111"/>
      <c r="F547" s="108"/>
      <c r="G547" s="112"/>
      <c r="I547" s="110"/>
      <c r="K547" s="110"/>
    </row>
    <row r="548" ht="15.75" customHeight="1">
      <c r="B548" s="173"/>
      <c r="D548" s="111"/>
      <c r="E548" s="111"/>
      <c r="F548" s="108"/>
      <c r="G548" s="112"/>
      <c r="I548" s="110"/>
      <c r="K548" s="110"/>
    </row>
    <row r="549" ht="15.75" customHeight="1">
      <c r="B549" s="173"/>
      <c r="D549" s="111"/>
      <c r="E549" s="111"/>
      <c r="F549" s="108"/>
      <c r="G549" s="112"/>
      <c r="I549" s="110"/>
      <c r="K549" s="110"/>
    </row>
    <row r="550" ht="15.75" customHeight="1">
      <c r="B550" s="173"/>
      <c r="D550" s="111"/>
      <c r="E550" s="111"/>
      <c r="F550" s="108"/>
      <c r="G550" s="112"/>
      <c r="I550" s="110"/>
      <c r="K550" s="110"/>
    </row>
    <row r="551" ht="15.75" customHeight="1">
      <c r="B551" s="173"/>
      <c r="D551" s="111"/>
      <c r="E551" s="111"/>
      <c r="F551" s="108"/>
      <c r="G551" s="112"/>
      <c r="I551" s="110"/>
      <c r="K551" s="110"/>
    </row>
    <row r="552" ht="15.75" customHeight="1">
      <c r="B552" s="173"/>
      <c r="D552" s="111"/>
      <c r="E552" s="111"/>
      <c r="F552" s="108"/>
      <c r="G552" s="112"/>
      <c r="I552" s="110"/>
      <c r="K552" s="110"/>
    </row>
    <row r="553" ht="15.75" customHeight="1">
      <c r="B553" s="173"/>
      <c r="D553" s="111"/>
      <c r="E553" s="111"/>
      <c r="F553" s="108"/>
      <c r="G553" s="112"/>
      <c r="I553" s="110"/>
      <c r="K553" s="110"/>
    </row>
    <row r="554" ht="15.75" customHeight="1">
      <c r="B554" s="173"/>
      <c r="D554" s="111"/>
      <c r="E554" s="111"/>
      <c r="F554" s="108"/>
      <c r="G554" s="112"/>
      <c r="I554" s="110"/>
      <c r="K554" s="110"/>
    </row>
    <row r="555" ht="15.75" customHeight="1">
      <c r="B555" s="173"/>
      <c r="D555" s="111"/>
      <c r="E555" s="111"/>
      <c r="F555" s="108"/>
      <c r="G555" s="112"/>
      <c r="I555" s="110"/>
      <c r="K555" s="110"/>
    </row>
    <row r="556" ht="15.75" customHeight="1">
      <c r="B556" s="173"/>
      <c r="D556" s="111"/>
      <c r="E556" s="111"/>
      <c r="F556" s="108"/>
      <c r="G556" s="112"/>
      <c r="I556" s="110"/>
      <c r="K556" s="110"/>
    </row>
    <row r="557" ht="15.75" customHeight="1">
      <c r="B557" s="173"/>
      <c r="D557" s="111"/>
      <c r="E557" s="111"/>
      <c r="F557" s="108"/>
      <c r="G557" s="112"/>
      <c r="I557" s="110"/>
      <c r="K557" s="110"/>
    </row>
    <row r="558" ht="15.75" customHeight="1">
      <c r="B558" s="173"/>
      <c r="D558" s="111"/>
      <c r="E558" s="111"/>
      <c r="F558" s="108"/>
      <c r="G558" s="112"/>
      <c r="I558" s="110"/>
      <c r="K558" s="110"/>
    </row>
    <row r="559" ht="15.75" customHeight="1">
      <c r="B559" s="173"/>
      <c r="D559" s="111"/>
      <c r="E559" s="111"/>
      <c r="F559" s="108"/>
      <c r="G559" s="112"/>
      <c r="I559" s="110"/>
      <c r="K559" s="110"/>
    </row>
    <row r="560" ht="15.75" customHeight="1">
      <c r="B560" s="173"/>
      <c r="D560" s="111"/>
      <c r="E560" s="111"/>
      <c r="F560" s="108"/>
      <c r="G560" s="112"/>
      <c r="I560" s="110"/>
      <c r="K560" s="110"/>
    </row>
    <row r="561" ht="15.75" customHeight="1">
      <c r="B561" s="173"/>
      <c r="D561" s="111"/>
      <c r="E561" s="111"/>
      <c r="F561" s="108"/>
      <c r="G561" s="112"/>
      <c r="I561" s="110"/>
      <c r="K561" s="110"/>
    </row>
    <row r="562" ht="15.75" customHeight="1">
      <c r="B562" s="173"/>
      <c r="D562" s="111"/>
      <c r="E562" s="111"/>
      <c r="F562" s="108"/>
      <c r="G562" s="112"/>
      <c r="I562" s="110"/>
      <c r="K562" s="110"/>
    </row>
    <row r="563" ht="15.75" customHeight="1">
      <c r="B563" s="173"/>
      <c r="D563" s="111"/>
      <c r="E563" s="111"/>
      <c r="F563" s="108"/>
      <c r="G563" s="112"/>
      <c r="I563" s="110"/>
      <c r="K563" s="110"/>
    </row>
    <row r="564" ht="15.75" customHeight="1">
      <c r="B564" s="173"/>
      <c r="D564" s="111"/>
      <c r="E564" s="111"/>
      <c r="F564" s="108"/>
      <c r="G564" s="112"/>
      <c r="I564" s="110"/>
      <c r="K564" s="110"/>
    </row>
    <row r="565" ht="15.75" customHeight="1">
      <c r="B565" s="173"/>
      <c r="D565" s="111"/>
      <c r="E565" s="111"/>
      <c r="F565" s="108"/>
      <c r="G565" s="112"/>
      <c r="I565" s="110"/>
      <c r="K565" s="110"/>
    </row>
    <row r="566" ht="15.75" customHeight="1">
      <c r="B566" s="173"/>
      <c r="D566" s="111"/>
      <c r="E566" s="111"/>
      <c r="F566" s="108"/>
      <c r="G566" s="112"/>
      <c r="I566" s="110"/>
      <c r="K566" s="110"/>
    </row>
    <row r="567" ht="15.75" customHeight="1">
      <c r="B567" s="173"/>
      <c r="D567" s="111"/>
      <c r="E567" s="111"/>
      <c r="F567" s="108"/>
      <c r="G567" s="112"/>
      <c r="I567" s="110"/>
      <c r="K567" s="110"/>
    </row>
    <row r="568" ht="15.75" customHeight="1">
      <c r="B568" s="173"/>
      <c r="D568" s="111"/>
      <c r="E568" s="111"/>
      <c r="F568" s="108"/>
      <c r="G568" s="112"/>
      <c r="I568" s="110"/>
      <c r="K568" s="110"/>
    </row>
    <row r="569" ht="15.75" customHeight="1">
      <c r="B569" s="173"/>
      <c r="D569" s="111"/>
      <c r="E569" s="111"/>
      <c r="F569" s="108"/>
      <c r="G569" s="112"/>
      <c r="I569" s="110"/>
      <c r="K569" s="110"/>
    </row>
    <row r="570" ht="15.75" customHeight="1">
      <c r="B570" s="173"/>
      <c r="D570" s="111"/>
      <c r="E570" s="111"/>
      <c r="F570" s="108"/>
      <c r="G570" s="112"/>
      <c r="I570" s="110"/>
      <c r="K570" s="110"/>
    </row>
    <row r="571" ht="15.75" customHeight="1">
      <c r="B571" s="173"/>
      <c r="D571" s="111"/>
      <c r="E571" s="111"/>
      <c r="F571" s="108"/>
      <c r="G571" s="112"/>
      <c r="I571" s="110"/>
      <c r="K571" s="110"/>
    </row>
    <row r="572" ht="15.75" customHeight="1">
      <c r="B572" s="173"/>
      <c r="D572" s="111"/>
      <c r="E572" s="111"/>
      <c r="F572" s="108"/>
      <c r="G572" s="112"/>
      <c r="I572" s="110"/>
      <c r="K572" s="110"/>
    </row>
    <row r="573" ht="15.75" customHeight="1">
      <c r="B573" s="173"/>
      <c r="D573" s="111"/>
      <c r="E573" s="111"/>
      <c r="F573" s="108"/>
      <c r="G573" s="112"/>
      <c r="I573" s="110"/>
      <c r="K573" s="110"/>
    </row>
    <row r="574" ht="15.75" customHeight="1">
      <c r="B574" s="173"/>
      <c r="D574" s="111"/>
      <c r="E574" s="111"/>
      <c r="F574" s="108"/>
      <c r="G574" s="112"/>
      <c r="I574" s="110"/>
      <c r="K574" s="110"/>
    </row>
    <row r="575" ht="15.75" customHeight="1">
      <c r="B575" s="173"/>
      <c r="D575" s="111"/>
      <c r="E575" s="111"/>
      <c r="F575" s="108"/>
      <c r="G575" s="112"/>
      <c r="I575" s="110"/>
      <c r="K575" s="110"/>
    </row>
    <row r="576" ht="15.75" customHeight="1">
      <c r="B576" s="173"/>
      <c r="D576" s="111"/>
      <c r="E576" s="111"/>
      <c r="F576" s="108"/>
      <c r="G576" s="112"/>
      <c r="I576" s="110"/>
      <c r="K576" s="110"/>
    </row>
    <row r="577" ht="15.75" customHeight="1">
      <c r="B577" s="173"/>
      <c r="D577" s="111"/>
      <c r="E577" s="111"/>
      <c r="F577" s="108"/>
      <c r="G577" s="112"/>
      <c r="I577" s="110"/>
      <c r="K577" s="110"/>
    </row>
    <row r="578" ht="15.75" customHeight="1">
      <c r="B578" s="173"/>
      <c r="D578" s="111"/>
      <c r="E578" s="111"/>
      <c r="F578" s="108"/>
      <c r="G578" s="112"/>
      <c r="I578" s="110"/>
      <c r="K578" s="110"/>
    </row>
    <row r="579" ht="15.75" customHeight="1">
      <c r="B579" s="173"/>
      <c r="D579" s="111"/>
      <c r="E579" s="111"/>
      <c r="F579" s="108"/>
      <c r="G579" s="112"/>
      <c r="I579" s="110"/>
      <c r="K579" s="110"/>
    </row>
    <row r="580" ht="15.75" customHeight="1">
      <c r="B580" s="173"/>
      <c r="D580" s="111"/>
      <c r="E580" s="111"/>
      <c r="F580" s="108"/>
      <c r="G580" s="112"/>
      <c r="I580" s="110"/>
      <c r="K580" s="110"/>
    </row>
    <row r="581" ht="15.75" customHeight="1">
      <c r="B581" s="173"/>
      <c r="D581" s="111"/>
      <c r="E581" s="111"/>
      <c r="F581" s="108"/>
      <c r="G581" s="112"/>
      <c r="I581" s="110"/>
      <c r="K581" s="110"/>
    </row>
    <row r="582" ht="15.75" customHeight="1">
      <c r="B582" s="173"/>
      <c r="D582" s="111"/>
      <c r="E582" s="111"/>
      <c r="F582" s="108"/>
      <c r="G582" s="112"/>
      <c r="I582" s="110"/>
      <c r="K582" s="110"/>
    </row>
    <row r="583" ht="15.75" customHeight="1">
      <c r="B583" s="173"/>
      <c r="D583" s="111"/>
      <c r="E583" s="111"/>
      <c r="F583" s="108"/>
      <c r="G583" s="112"/>
      <c r="I583" s="110"/>
      <c r="K583" s="110"/>
    </row>
    <row r="584" ht="15.75" customHeight="1">
      <c r="B584" s="173"/>
      <c r="D584" s="111"/>
      <c r="E584" s="111"/>
      <c r="F584" s="108"/>
      <c r="G584" s="112"/>
      <c r="I584" s="110"/>
      <c r="K584" s="110"/>
    </row>
    <row r="585" ht="15.75" customHeight="1">
      <c r="B585" s="173"/>
      <c r="D585" s="111"/>
      <c r="E585" s="111"/>
      <c r="F585" s="108"/>
      <c r="G585" s="112"/>
      <c r="I585" s="110"/>
      <c r="K585" s="110"/>
    </row>
    <row r="586" ht="15.75" customHeight="1">
      <c r="B586" s="173"/>
      <c r="D586" s="111"/>
      <c r="E586" s="111"/>
      <c r="F586" s="108"/>
      <c r="G586" s="112"/>
      <c r="I586" s="110"/>
      <c r="K586" s="110"/>
    </row>
    <row r="587" ht="15.75" customHeight="1">
      <c r="B587" s="173"/>
      <c r="D587" s="111"/>
      <c r="E587" s="111"/>
      <c r="F587" s="108"/>
      <c r="G587" s="112"/>
      <c r="I587" s="110"/>
      <c r="K587" s="110"/>
    </row>
    <row r="588" ht="15.75" customHeight="1">
      <c r="B588" s="173"/>
      <c r="D588" s="111"/>
      <c r="E588" s="111"/>
      <c r="F588" s="108"/>
      <c r="G588" s="112"/>
      <c r="I588" s="110"/>
      <c r="K588" s="110"/>
    </row>
    <row r="589" ht="15.75" customHeight="1">
      <c r="B589" s="173"/>
      <c r="D589" s="111"/>
      <c r="E589" s="111"/>
      <c r="F589" s="108"/>
      <c r="G589" s="112"/>
      <c r="I589" s="110"/>
      <c r="K589" s="110"/>
    </row>
    <row r="590" ht="15.75" customHeight="1">
      <c r="B590" s="173"/>
      <c r="D590" s="111"/>
      <c r="E590" s="111"/>
      <c r="F590" s="108"/>
      <c r="G590" s="112"/>
      <c r="I590" s="110"/>
      <c r="K590" s="110"/>
    </row>
    <row r="591" ht="15.75" customHeight="1">
      <c r="B591" s="173"/>
      <c r="D591" s="111"/>
      <c r="E591" s="111"/>
      <c r="F591" s="108"/>
      <c r="G591" s="112"/>
      <c r="I591" s="110"/>
      <c r="K591" s="110"/>
    </row>
    <row r="592" ht="15.75" customHeight="1">
      <c r="B592" s="173"/>
      <c r="D592" s="111"/>
      <c r="E592" s="111"/>
      <c r="F592" s="108"/>
      <c r="G592" s="112"/>
      <c r="I592" s="110"/>
      <c r="K592" s="110"/>
    </row>
    <row r="593" ht="15.75" customHeight="1">
      <c r="B593" s="173"/>
      <c r="D593" s="111"/>
      <c r="E593" s="111"/>
      <c r="F593" s="108"/>
      <c r="G593" s="112"/>
      <c r="I593" s="110"/>
      <c r="K593" s="110"/>
    </row>
    <row r="594" ht="15.75" customHeight="1">
      <c r="B594" s="173"/>
      <c r="D594" s="111"/>
      <c r="E594" s="111"/>
      <c r="F594" s="108"/>
      <c r="G594" s="112"/>
      <c r="I594" s="110"/>
      <c r="K594" s="110"/>
    </row>
    <row r="595" ht="15.75" customHeight="1">
      <c r="B595" s="173"/>
      <c r="D595" s="111"/>
      <c r="E595" s="111"/>
      <c r="F595" s="108"/>
      <c r="G595" s="112"/>
      <c r="I595" s="110"/>
      <c r="K595" s="110"/>
    </row>
    <row r="596" ht="15.75" customHeight="1">
      <c r="B596" s="173"/>
      <c r="D596" s="111"/>
      <c r="E596" s="111"/>
      <c r="F596" s="108"/>
      <c r="G596" s="112"/>
      <c r="I596" s="110"/>
      <c r="K596" s="110"/>
    </row>
    <row r="597" ht="15.75" customHeight="1">
      <c r="B597" s="173"/>
      <c r="D597" s="111"/>
      <c r="E597" s="111"/>
      <c r="F597" s="108"/>
      <c r="G597" s="112"/>
      <c r="I597" s="110"/>
      <c r="K597" s="110"/>
    </row>
    <row r="598" ht="15.75" customHeight="1">
      <c r="B598" s="173"/>
      <c r="D598" s="111"/>
      <c r="E598" s="111"/>
      <c r="F598" s="108"/>
      <c r="G598" s="112"/>
      <c r="I598" s="110"/>
      <c r="K598" s="110"/>
    </row>
    <row r="599" ht="15.75" customHeight="1">
      <c r="B599" s="173"/>
      <c r="D599" s="111"/>
      <c r="E599" s="111"/>
      <c r="F599" s="108"/>
      <c r="G599" s="112"/>
      <c r="I599" s="110"/>
      <c r="K599" s="110"/>
    </row>
    <row r="600" ht="15.75" customHeight="1">
      <c r="B600" s="173"/>
      <c r="D600" s="111"/>
      <c r="E600" s="111"/>
      <c r="F600" s="108"/>
      <c r="G600" s="112"/>
      <c r="I600" s="110"/>
      <c r="K600" s="110"/>
    </row>
    <row r="601" ht="15.75" customHeight="1">
      <c r="B601" s="173"/>
      <c r="D601" s="111"/>
      <c r="E601" s="111"/>
      <c r="F601" s="108"/>
      <c r="G601" s="112"/>
      <c r="I601" s="110"/>
      <c r="K601" s="110"/>
    </row>
    <row r="602" ht="15.75" customHeight="1">
      <c r="B602" s="173"/>
      <c r="D602" s="111"/>
      <c r="E602" s="111"/>
      <c r="F602" s="108"/>
      <c r="G602" s="112"/>
      <c r="I602" s="110"/>
      <c r="K602" s="110"/>
    </row>
    <row r="603" ht="15.75" customHeight="1">
      <c r="B603" s="173"/>
      <c r="D603" s="111"/>
      <c r="E603" s="111"/>
      <c r="F603" s="108"/>
      <c r="G603" s="112"/>
      <c r="I603" s="110"/>
      <c r="K603" s="110"/>
    </row>
    <row r="604" ht="15.75" customHeight="1">
      <c r="B604" s="173"/>
      <c r="D604" s="111"/>
      <c r="E604" s="111"/>
      <c r="F604" s="108"/>
      <c r="G604" s="112"/>
      <c r="I604" s="110"/>
      <c r="K604" s="110"/>
    </row>
    <row r="605" ht="15.75" customHeight="1">
      <c r="B605" s="173"/>
      <c r="D605" s="111"/>
      <c r="E605" s="111"/>
      <c r="F605" s="108"/>
      <c r="G605" s="112"/>
      <c r="I605" s="110"/>
      <c r="K605" s="110"/>
    </row>
    <row r="606" ht="15.75" customHeight="1">
      <c r="B606" s="173"/>
      <c r="D606" s="111"/>
      <c r="E606" s="111"/>
      <c r="F606" s="108"/>
      <c r="G606" s="112"/>
      <c r="I606" s="110"/>
      <c r="K606" s="110"/>
    </row>
    <row r="607" ht="15.75" customHeight="1">
      <c r="B607" s="173"/>
      <c r="D607" s="111"/>
      <c r="E607" s="111"/>
      <c r="F607" s="108"/>
      <c r="G607" s="112"/>
      <c r="I607" s="110"/>
      <c r="K607" s="110"/>
    </row>
    <row r="608" ht="15.75" customHeight="1">
      <c r="B608" s="173"/>
      <c r="D608" s="111"/>
      <c r="E608" s="111"/>
      <c r="F608" s="108"/>
      <c r="G608" s="112"/>
      <c r="I608" s="110"/>
      <c r="K608" s="110"/>
    </row>
    <row r="609" ht="15.75" customHeight="1">
      <c r="B609" s="173"/>
      <c r="D609" s="111"/>
      <c r="E609" s="111"/>
      <c r="F609" s="108"/>
      <c r="G609" s="112"/>
      <c r="I609" s="110"/>
      <c r="K609" s="110"/>
    </row>
    <row r="610" ht="15.75" customHeight="1">
      <c r="B610" s="173"/>
      <c r="D610" s="111"/>
      <c r="E610" s="111"/>
      <c r="F610" s="108"/>
      <c r="G610" s="112"/>
      <c r="I610" s="110"/>
      <c r="K610" s="110"/>
    </row>
    <row r="611" ht="15.75" customHeight="1">
      <c r="B611" s="173"/>
      <c r="D611" s="111"/>
      <c r="E611" s="111"/>
      <c r="F611" s="108"/>
      <c r="G611" s="112"/>
      <c r="I611" s="110"/>
      <c r="K611" s="110"/>
    </row>
    <row r="612" ht="15.75" customHeight="1">
      <c r="B612" s="173"/>
      <c r="D612" s="111"/>
      <c r="E612" s="111"/>
      <c r="F612" s="108"/>
      <c r="G612" s="112"/>
      <c r="I612" s="110"/>
      <c r="K612" s="110"/>
    </row>
    <row r="613" ht="15.75" customHeight="1">
      <c r="B613" s="173"/>
      <c r="D613" s="111"/>
      <c r="E613" s="111"/>
      <c r="F613" s="108"/>
      <c r="G613" s="112"/>
      <c r="I613" s="110"/>
      <c r="K613" s="110"/>
    </row>
    <row r="614" ht="15.75" customHeight="1">
      <c r="B614" s="173"/>
      <c r="D614" s="111"/>
      <c r="E614" s="111"/>
      <c r="F614" s="108"/>
      <c r="G614" s="112"/>
      <c r="I614" s="110"/>
      <c r="K614" s="110"/>
    </row>
    <row r="615" ht="15.75" customHeight="1">
      <c r="B615" s="173"/>
      <c r="D615" s="111"/>
      <c r="E615" s="111"/>
      <c r="F615" s="108"/>
      <c r="G615" s="112"/>
      <c r="I615" s="110"/>
      <c r="K615" s="110"/>
    </row>
    <row r="616" ht="15.75" customHeight="1">
      <c r="B616" s="173"/>
      <c r="D616" s="111"/>
      <c r="E616" s="111"/>
      <c r="F616" s="108"/>
      <c r="G616" s="112"/>
      <c r="I616" s="110"/>
      <c r="K616" s="110"/>
    </row>
    <row r="617" ht="15.75" customHeight="1">
      <c r="B617" s="173"/>
      <c r="D617" s="111"/>
      <c r="E617" s="111"/>
      <c r="F617" s="108"/>
      <c r="G617" s="112"/>
      <c r="I617" s="110"/>
      <c r="K617" s="110"/>
    </row>
    <row r="618" ht="15.75" customHeight="1">
      <c r="B618" s="173"/>
      <c r="D618" s="111"/>
      <c r="E618" s="111"/>
      <c r="F618" s="108"/>
      <c r="G618" s="112"/>
      <c r="I618" s="110"/>
      <c r="K618" s="110"/>
    </row>
    <row r="619" ht="15.75" customHeight="1">
      <c r="B619" s="173"/>
      <c r="D619" s="111"/>
      <c r="E619" s="111"/>
      <c r="F619" s="108"/>
      <c r="G619" s="112"/>
      <c r="I619" s="110"/>
      <c r="K619" s="110"/>
    </row>
    <row r="620" ht="15.75" customHeight="1">
      <c r="B620" s="173"/>
      <c r="D620" s="111"/>
      <c r="E620" s="111"/>
      <c r="F620" s="108"/>
      <c r="G620" s="112"/>
      <c r="I620" s="110"/>
      <c r="K620" s="110"/>
    </row>
    <row r="621" ht="15.75" customHeight="1">
      <c r="B621" s="173"/>
      <c r="D621" s="111"/>
      <c r="E621" s="111"/>
      <c r="F621" s="108"/>
      <c r="G621" s="112"/>
      <c r="I621" s="110"/>
      <c r="K621" s="110"/>
    </row>
    <row r="622" ht="15.75" customHeight="1">
      <c r="B622" s="173"/>
      <c r="D622" s="111"/>
      <c r="E622" s="111"/>
      <c r="F622" s="108"/>
      <c r="G622" s="112"/>
      <c r="I622" s="110"/>
      <c r="K622" s="110"/>
    </row>
    <row r="623" ht="15.75" customHeight="1">
      <c r="B623" s="173"/>
      <c r="D623" s="111"/>
      <c r="E623" s="111"/>
      <c r="F623" s="108"/>
      <c r="G623" s="112"/>
      <c r="I623" s="110"/>
      <c r="K623" s="110"/>
    </row>
    <row r="624" ht="15.75" customHeight="1">
      <c r="B624" s="173"/>
      <c r="D624" s="111"/>
      <c r="E624" s="111"/>
      <c r="F624" s="108"/>
      <c r="G624" s="112"/>
      <c r="I624" s="110"/>
      <c r="K624" s="110"/>
    </row>
    <row r="625" ht="15.75" customHeight="1">
      <c r="B625" s="173"/>
      <c r="D625" s="111"/>
      <c r="E625" s="111"/>
      <c r="F625" s="108"/>
      <c r="G625" s="112"/>
      <c r="I625" s="110"/>
      <c r="K625" s="110"/>
    </row>
    <row r="626" ht="15.75" customHeight="1">
      <c r="B626" s="173"/>
      <c r="D626" s="111"/>
      <c r="E626" s="111"/>
      <c r="F626" s="108"/>
      <c r="G626" s="112"/>
      <c r="I626" s="110"/>
      <c r="K626" s="110"/>
    </row>
    <row r="627" ht="15.75" customHeight="1">
      <c r="B627" s="173"/>
      <c r="D627" s="111"/>
      <c r="E627" s="111"/>
      <c r="F627" s="108"/>
      <c r="G627" s="112"/>
      <c r="I627" s="110"/>
      <c r="K627" s="110"/>
    </row>
    <row r="628" ht="15.75" customHeight="1">
      <c r="B628" s="173"/>
      <c r="D628" s="111"/>
      <c r="E628" s="111"/>
      <c r="F628" s="108"/>
      <c r="G628" s="112"/>
      <c r="I628" s="110"/>
      <c r="K628" s="110"/>
    </row>
    <row r="629" ht="15.75" customHeight="1">
      <c r="B629" s="173"/>
      <c r="D629" s="111"/>
      <c r="E629" s="111"/>
      <c r="F629" s="108"/>
      <c r="G629" s="112"/>
      <c r="I629" s="110"/>
      <c r="K629" s="110"/>
    </row>
    <row r="630" ht="15.75" customHeight="1">
      <c r="B630" s="173"/>
      <c r="D630" s="111"/>
      <c r="E630" s="111"/>
      <c r="F630" s="108"/>
      <c r="G630" s="112"/>
      <c r="I630" s="110"/>
      <c r="K630" s="110"/>
    </row>
    <row r="631" ht="15.75" customHeight="1">
      <c r="B631" s="173"/>
      <c r="D631" s="111"/>
      <c r="E631" s="111"/>
      <c r="F631" s="108"/>
      <c r="G631" s="112"/>
      <c r="I631" s="110"/>
      <c r="K631" s="110"/>
    </row>
    <row r="632" ht="15.75" customHeight="1">
      <c r="B632" s="173"/>
      <c r="D632" s="111"/>
      <c r="E632" s="111"/>
      <c r="F632" s="108"/>
      <c r="G632" s="112"/>
      <c r="I632" s="110"/>
      <c r="K632" s="110"/>
    </row>
    <row r="633" ht="15.75" customHeight="1">
      <c r="B633" s="173"/>
      <c r="D633" s="111"/>
      <c r="E633" s="111"/>
      <c r="F633" s="108"/>
      <c r="G633" s="112"/>
      <c r="I633" s="110"/>
      <c r="K633" s="110"/>
    </row>
    <row r="634" ht="15.75" customHeight="1">
      <c r="B634" s="173"/>
      <c r="D634" s="111"/>
      <c r="E634" s="111"/>
      <c r="F634" s="108"/>
      <c r="G634" s="112"/>
      <c r="I634" s="110"/>
      <c r="K634" s="110"/>
    </row>
    <row r="635" ht="15.75" customHeight="1">
      <c r="B635" s="173"/>
      <c r="D635" s="111"/>
      <c r="E635" s="111"/>
      <c r="F635" s="108"/>
      <c r="G635" s="112"/>
      <c r="I635" s="110"/>
      <c r="K635" s="110"/>
    </row>
    <row r="636" ht="15.75" customHeight="1">
      <c r="B636" s="173"/>
      <c r="D636" s="111"/>
      <c r="E636" s="111"/>
      <c r="F636" s="108"/>
      <c r="G636" s="112"/>
      <c r="I636" s="110"/>
      <c r="K636" s="110"/>
    </row>
    <row r="637" ht="15.75" customHeight="1">
      <c r="B637" s="173"/>
      <c r="D637" s="111"/>
      <c r="E637" s="111"/>
      <c r="F637" s="108"/>
      <c r="G637" s="112"/>
      <c r="I637" s="110"/>
      <c r="K637" s="110"/>
    </row>
    <row r="638" ht="15.75" customHeight="1">
      <c r="B638" s="173"/>
      <c r="D638" s="111"/>
      <c r="E638" s="111"/>
      <c r="F638" s="108"/>
      <c r="G638" s="112"/>
      <c r="I638" s="110"/>
      <c r="K638" s="110"/>
    </row>
    <row r="639" ht="15.75" customHeight="1">
      <c r="B639" s="173"/>
      <c r="D639" s="111"/>
      <c r="E639" s="111"/>
      <c r="F639" s="108"/>
      <c r="G639" s="112"/>
      <c r="I639" s="110"/>
      <c r="K639" s="110"/>
    </row>
    <row r="640" ht="15.75" customHeight="1">
      <c r="B640" s="173"/>
      <c r="D640" s="111"/>
      <c r="E640" s="111"/>
      <c r="F640" s="108"/>
      <c r="G640" s="112"/>
      <c r="I640" s="110"/>
      <c r="K640" s="110"/>
    </row>
    <row r="641" ht="15.75" customHeight="1">
      <c r="B641" s="173"/>
      <c r="D641" s="111"/>
      <c r="E641" s="111"/>
      <c r="F641" s="108"/>
      <c r="G641" s="112"/>
      <c r="I641" s="110"/>
      <c r="K641" s="110"/>
    </row>
    <row r="642" ht="15.75" customHeight="1">
      <c r="B642" s="173"/>
      <c r="D642" s="111"/>
      <c r="E642" s="111"/>
      <c r="F642" s="108"/>
      <c r="G642" s="112"/>
      <c r="I642" s="110"/>
      <c r="K642" s="110"/>
    </row>
    <row r="643" ht="15.75" customHeight="1">
      <c r="B643" s="173"/>
      <c r="D643" s="111"/>
      <c r="E643" s="111"/>
      <c r="F643" s="108"/>
      <c r="G643" s="112"/>
      <c r="I643" s="110"/>
      <c r="K643" s="110"/>
    </row>
    <row r="644" ht="15.75" customHeight="1">
      <c r="B644" s="173"/>
      <c r="D644" s="111"/>
      <c r="E644" s="111"/>
      <c r="F644" s="108"/>
      <c r="G644" s="112"/>
      <c r="I644" s="110"/>
      <c r="K644" s="110"/>
    </row>
    <row r="645" ht="15.75" customHeight="1">
      <c r="B645" s="173"/>
      <c r="D645" s="111"/>
      <c r="E645" s="111"/>
      <c r="F645" s="108"/>
      <c r="G645" s="112"/>
      <c r="I645" s="110"/>
      <c r="K645" s="110"/>
    </row>
    <row r="646" ht="15.75" customHeight="1">
      <c r="B646" s="173"/>
      <c r="D646" s="111"/>
      <c r="E646" s="111"/>
      <c r="F646" s="108"/>
      <c r="G646" s="112"/>
      <c r="I646" s="110"/>
      <c r="K646" s="110"/>
    </row>
    <row r="647" ht="15.75" customHeight="1">
      <c r="B647" s="173"/>
      <c r="D647" s="111"/>
      <c r="E647" s="111"/>
      <c r="F647" s="108"/>
      <c r="G647" s="112"/>
      <c r="I647" s="110"/>
      <c r="K647" s="110"/>
    </row>
    <row r="648" ht="15.75" customHeight="1">
      <c r="B648" s="173"/>
      <c r="D648" s="111"/>
      <c r="E648" s="111"/>
      <c r="F648" s="108"/>
      <c r="G648" s="112"/>
      <c r="I648" s="110"/>
      <c r="K648" s="110"/>
    </row>
    <row r="649" ht="15.75" customHeight="1">
      <c r="B649" s="173"/>
      <c r="D649" s="111"/>
      <c r="E649" s="111"/>
      <c r="F649" s="108"/>
      <c r="G649" s="112"/>
      <c r="I649" s="110"/>
      <c r="K649" s="110"/>
    </row>
    <row r="650" ht="15.75" customHeight="1">
      <c r="B650" s="173"/>
      <c r="D650" s="111"/>
      <c r="E650" s="111"/>
      <c r="F650" s="108"/>
      <c r="G650" s="112"/>
      <c r="I650" s="110"/>
      <c r="K650" s="110"/>
    </row>
    <row r="651" ht="15.75" customHeight="1">
      <c r="B651" s="173"/>
      <c r="D651" s="111"/>
      <c r="E651" s="111"/>
      <c r="F651" s="108"/>
      <c r="G651" s="112"/>
      <c r="I651" s="110"/>
      <c r="K651" s="110"/>
    </row>
    <row r="652" ht="15.75" customHeight="1">
      <c r="B652" s="173"/>
      <c r="D652" s="111"/>
      <c r="E652" s="111"/>
      <c r="F652" s="108"/>
      <c r="G652" s="112"/>
      <c r="I652" s="110"/>
      <c r="K652" s="110"/>
    </row>
    <row r="653" ht="15.75" customHeight="1">
      <c r="B653" s="173"/>
      <c r="D653" s="111"/>
      <c r="E653" s="111"/>
      <c r="F653" s="108"/>
      <c r="G653" s="112"/>
      <c r="I653" s="110"/>
      <c r="K653" s="110"/>
    </row>
    <row r="654" ht="15.75" customHeight="1">
      <c r="B654" s="173"/>
      <c r="D654" s="111"/>
      <c r="E654" s="111"/>
      <c r="F654" s="108"/>
      <c r="G654" s="112"/>
      <c r="I654" s="110"/>
      <c r="K654" s="110"/>
    </row>
    <row r="655" ht="15.75" customHeight="1">
      <c r="B655" s="173"/>
      <c r="D655" s="111"/>
      <c r="E655" s="111"/>
      <c r="F655" s="108"/>
      <c r="G655" s="112"/>
      <c r="I655" s="110"/>
      <c r="K655" s="110"/>
    </row>
    <row r="656" ht="15.75" customHeight="1">
      <c r="B656" s="173"/>
      <c r="D656" s="111"/>
      <c r="E656" s="111"/>
      <c r="F656" s="108"/>
      <c r="G656" s="112"/>
      <c r="I656" s="110"/>
      <c r="K656" s="110"/>
    </row>
    <row r="657" ht="15.75" customHeight="1">
      <c r="B657" s="173"/>
      <c r="D657" s="111"/>
      <c r="E657" s="111"/>
      <c r="F657" s="108"/>
      <c r="G657" s="112"/>
      <c r="I657" s="110"/>
      <c r="K657" s="110"/>
    </row>
    <row r="658" ht="15.75" customHeight="1">
      <c r="B658" s="173"/>
      <c r="D658" s="111"/>
      <c r="E658" s="111"/>
      <c r="F658" s="108"/>
      <c r="G658" s="112"/>
      <c r="I658" s="110"/>
      <c r="K658" s="110"/>
    </row>
    <row r="659" ht="15.75" customHeight="1">
      <c r="B659" s="173"/>
      <c r="D659" s="111"/>
      <c r="E659" s="111"/>
      <c r="F659" s="108"/>
      <c r="G659" s="112"/>
      <c r="I659" s="110"/>
      <c r="K659" s="110"/>
    </row>
    <row r="660" ht="15.75" customHeight="1">
      <c r="B660" s="173"/>
      <c r="D660" s="111"/>
      <c r="E660" s="111"/>
      <c r="F660" s="108"/>
      <c r="G660" s="112"/>
      <c r="I660" s="110"/>
      <c r="K660" s="110"/>
    </row>
    <row r="661" ht="15.75" customHeight="1">
      <c r="B661" s="173"/>
      <c r="D661" s="111"/>
      <c r="E661" s="111"/>
      <c r="F661" s="108"/>
      <c r="G661" s="112"/>
      <c r="I661" s="110"/>
      <c r="K661" s="110"/>
    </row>
    <row r="662" ht="15.75" customHeight="1">
      <c r="B662" s="173"/>
      <c r="D662" s="111"/>
      <c r="E662" s="111"/>
      <c r="F662" s="108"/>
      <c r="G662" s="112"/>
      <c r="I662" s="110"/>
      <c r="K662" s="110"/>
    </row>
    <row r="663" ht="15.75" customHeight="1">
      <c r="B663" s="173"/>
      <c r="D663" s="111"/>
      <c r="E663" s="111"/>
      <c r="F663" s="108"/>
      <c r="G663" s="112"/>
      <c r="I663" s="110"/>
      <c r="K663" s="110"/>
    </row>
    <row r="664" ht="15.75" customHeight="1">
      <c r="B664" s="173"/>
      <c r="D664" s="111"/>
      <c r="E664" s="111"/>
      <c r="F664" s="108"/>
      <c r="G664" s="112"/>
      <c r="I664" s="110"/>
      <c r="K664" s="110"/>
    </row>
    <row r="665" ht="15.75" customHeight="1">
      <c r="B665" s="173"/>
      <c r="D665" s="111"/>
      <c r="E665" s="111"/>
      <c r="F665" s="108"/>
      <c r="G665" s="112"/>
      <c r="I665" s="110"/>
      <c r="K665" s="110"/>
    </row>
    <row r="666" ht="15.75" customHeight="1">
      <c r="B666" s="173"/>
      <c r="D666" s="111"/>
      <c r="E666" s="111"/>
      <c r="F666" s="108"/>
      <c r="G666" s="112"/>
      <c r="I666" s="110"/>
      <c r="K666" s="110"/>
    </row>
    <row r="667" ht="15.75" customHeight="1">
      <c r="B667" s="173"/>
      <c r="D667" s="111"/>
      <c r="E667" s="111"/>
      <c r="F667" s="108"/>
      <c r="G667" s="112"/>
      <c r="I667" s="110"/>
      <c r="K667" s="110"/>
    </row>
    <row r="668" ht="15.75" customHeight="1">
      <c r="B668" s="173"/>
      <c r="D668" s="111"/>
      <c r="E668" s="111"/>
      <c r="F668" s="108"/>
      <c r="G668" s="112"/>
      <c r="I668" s="110"/>
      <c r="K668" s="110"/>
    </row>
    <row r="669" ht="15.75" customHeight="1">
      <c r="B669" s="173"/>
      <c r="D669" s="111"/>
      <c r="E669" s="111"/>
      <c r="F669" s="108"/>
      <c r="G669" s="112"/>
      <c r="I669" s="110"/>
      <c r="K669" s="110"/>
    </row>
    <row r="670" ht="15.75" customHeight="1">
      <c r="B670" s="173"/>
      <c r="D670" s="111"/>
      <c r="E670" s="111"/>
      <c r="F670" s="108"/>
      <c r="G670" s="112"/>
      <c r="I670" s="110"/>
      <c r="K670" s="110"/>
    </row>
    <row r="671" ht="15.75" customHeight="1">
      <c r="B671" s="173"/>
      <c r="D671" s="111"/>
      <c r="E671" s="111"/>
      <c r="F671" s="108"/>
      <c r="G671" s="112"/>
      <c r="I671" s="110"/>
      <c r="K671" s="110"/>
    </row>
    <row r="672" ht="15.75" customHeight="1">
      <c r="B672" s="173"/>
      <c r="D672" s="111"/>
      <c r="E672" s="111"/>
      <c r="F672" s="108"/>
      <c r="G672" s="112"/>
      <c r="I672" s="110"/>
      <c r="K672" s="110"/>
    </row>
    <row r="673" ht="15.75" customHeight="1">
      <c r="B673" s="173"/>
      <c r="D673" s="111"/>
      <c r="E673" s="111"/>
      <c r="F673" s="108"/>
      <c r="G673" s="112"/>
      <c r="I673" s="110"/>
      <c r="K673" s="110"/>
    </row>
    <row r="674" ht="15.75" customHeight="1">
      <c r="B674" s="173"/>
      <c r="D674" s="111"/>
      <c r="E674" s="111"/>
      <c r="F674" s="108"/>
      <c r="G674" s="112"/>
      <c r="I674" s="110"/>
      <c r="K674" s="110"/>
    </row>
    <row r="675" ht="15.75" customHeight="1">
      <c r="B675" s="173"/>
      <c r="D675" s="111"/>
      <c r="E675" s="111"/>
      <c r="F675" s="108"/>
      <c r="G675" s="112"/>
      <c r="I675" s="110"/>
      <c r="K675" s="110"/>
    </row>
    <row r="676" ht="15.75" customHeight="1">
      <c r="B676" s="173"/>
      <c r="D676" s="111"/>
      <c r="E676" s="111"/>
      <c r="F676" s="108"/>
      <c r="G676" s="112"/>
      <c r="I676" s="110"/>
      <c r="K676" s="110"/>
    </row>
    <row r="677" ht="15.75" customHeight="1">
      <c r="B677" s="173"/>
      <c r="D677" s="111"/>
      <c r="E677" s="111"/>
      <c r="F677" s="108"/>
      <c r="G677" s="112"/>
      <c r="I677" s="110"/>
      <c r="K677" s="110"/>
    </row>
    <row r="678" ht="15.75" customHeight="1">
      <c r="B678" s="173"/>
      <c r="D678" s="111"/>
      <c r="E678" s="111"/>
      <c r="F678" s="108"/>
      <c r="G678" s="112"/>
      <c r="I678" s="110"/>
      <c r="K678" s="110"/>
    </row>
    <row r="679" ht="15.75" customHeight="1">
      <c r="B679" s="173"/>
      <c r="D679" s="111"/>
      <c r="E679" s="111"/>
      <c r="F679" s="108"/>
      <c r="G679" s="112"/>
      <c r="I679" s="110"/>
      <c r="K679" s="110"/>
    </row>
    <row r="680" ht="15.75" customHeight="1">
      <c r="B680" s="173"/>
      <c r="D680" s="111"/>
      <c r="E680" s="111"/>
      <c r="F680" s="108"/>
      <c r="G680" s="112"/>
      <c r="I680" s="110"/>
      <c r="K680" s="110"/>
    </row>
    <row r="681" ht="15.75" customHeight="1">
      <c r="B681" s="173"/>
      <c r="D681" s="111"/>
      <c r="E681" s="111"/>
      <c r="F681" s="108"/>
      <c r="G681" s="112"/>
      <c r="I681" s="110"/>
      <c r="K681" s="110"/>
    </row>
    <row r="682" ht="15.75" customHeight="1">
      <c r="B682" s="173"/>
      <c r="D682" s="111"/>
      <c r="E682" s="111"/>
      <c r="F682" s="108"/>
      <c r="G682" s="112"/>
      <c r="I682" s="110"/>
      <c r="K682" s="110"/>
    </row>
    <row r="683" ht="15.75" customHeight="1">
      <c r="B683" s="173"/>
      <c r="D683" s="111"/>
      <c r="E683" s="111"/>
      <c r="F683" s="108"/>
      <c r="G683" s="112"/>
      <c r="I683" s="110"/>
      <c r="K683" s="110"/>
    </row>
    <row r="684" ht="15.75" customHeight="1">
      <c r="B684" s="173"/>
      <c r="D684" s="111"/>
      <c r="E684" s="111"/>
      <c r="F684" s="108"/>
      <c r="G684" s="112"/>
      <c r="I684" s="110"/>
      <c r="K684" s="110"/>
    </row>
    <row r="685" ht="15.75" customHeight="1">
      <c r="B685" s="173"/>
      <c r="D685" s="111"/>
      <c r="E685" s="111"/>
      <c r="F685" s="108"/>
      <c r="G685" s="112"/>
      <c r="I685" s="110"/>
      <c r="K685" s="110"/>
    </row>
    <row r="686" ht="15.75" customHeight="1">
      <c r="B686" s="173"/>
      <c r="D686" s="111"/>
      <c r="E686" s="111"/>
      <c r="F686" s="108"/>
      <c r="G686" s="112"/>
      <c r="I686" s="110"/>
      <c r="K686" s="110"/>
    </row>
    <row r="687" ht="15.75" customHeight="1">
      <c r="B687" s="173"/>
      <c r="D687" s="111"/>
      <c r="E687" s="111"/>
      <c r="F687" s="108"/>
      <c r="G687" s="112"/>
      <c r="I687" s="110"/>
      <c r="K687" s="110"/>
    </row>
    <row r="688" ht="15.75" customHeight="1">
      <c r="B688" s="173"/>
      <c r="D688" s="111"/>
      <c r="E688" s="111"/>
      <c r="F688" s="108"/>
      <c r="G688" s="112"/>
      <c r="I688" s="110"/>
      <c r="K688" s="110"/>
    </row>
    <row r="689" ht="15.75" customHeight="1">
      <c r="B689" s="173"/>
      <c r="D689" s="111"/>
      <c r="E689" s="111"/>
      <c r="F689" s="108"/>
      <c r="G689" s="112"/>
      <c r="I689" s="110"/>
      <c r="K689" s="110"/>
    </row>
    <row r="690" ht="15.75" customHeight="1">
      <c r="B690" s="173"/>
      <c r="D690" s="111"/>
      <c r="E690" s="111"/>
      <c r="F690" s="108"/>
      <c r="G690" s="112"/>
      <c r="I690" s="110"/>
      <c r="K690" s="110"/>
    </row>
    <row r="691" ht="15.75" customHeight="1">
      <c r="B691" s="173"/>
      <c r="D691" s="111"/>
      <c r="E691" s="111"/>
      <c r="F691" s="108"/>
      <c r="G691" s="112"/>
      <c r="I691" s="110"/>
      <c r="K691" s="110"/>
    </row>
    <row r="692" ht="15.75" customHeight="1">
      <c r="B692" s="173"/>
      <c r="D692" s="111"/>
      <c r="E692" s="111"/>
      <c r="F692" s="108"/>
      <c r="G692" s="112"/>
      <c r="I692" s="110"/>
      <c r="K692" s="110"/>
    </row>
    <row r="693" ht="15.75" customHeight="1">
      <c r="B693" s="173"/>
      <c r="D693" s="111"/>
      <c r="E693" s="111"/>
      <c r="F693" s="108"/>
      <c r="G693" s="112"/>
      <c r="I693" s="110"/>
      <c r="K693" s="110"/>
    </row>
    <row r="694" ht="15.75" customHeight="1">
      <c r="B694" s="173"/>
      <c r="D694" s="111"/>
      <c r="E694" s="111"/>
      <c r="F694" s="108"/>
      <c r="G694" s="112"/>
      <c r="I694" s="110"/>
      <c r="K694" s="110"/>
    </row>
    <row r="695" ht="15.75" customHeight="1">
      <c r="B695" s="173"/>
      <c r="D695" s="111"/>
      <c r="E695" s="111"/>
      <c r="F695" s="108"/>
      <c r="G695" s="112"/>
      <c r="I695" s="110"/>
      <c r="K695" s="110"/>
    </row>
    <row r="696" ht="15.75" customHeight="1">
      <c r="B696" s="173"/>
      <c r="D696" s="111"/>
      <c r="E696" s="111"/>
      <c r="F696" s="108"/>
      <c r="G696" s="112"/>
      <c r="I696" s="110"/>
      <c r="K696" s="110"/>
    </row>
    <row r="697" ht="15.75" customHeight="1">
      <c r="B697" s="173"/>
      <c r="D697" s="111"/>
      <c r="E697" s="111"/>
      <c r="F697" s="108"/>
      <c r="G697" s="112"/>
      <c r="I697" s="110"/>
      <c r="K697" s="110"/>
    </row>
    <row r="698" ht="15.75" customHeight="1">
      <c r="B698" s="173"/>
      <c r="D698" s="111"/>
      <c r="E698" s="111"/>
      <c r="F698" s="108"/>
      <c r="G698" s="112"/>
      <c r="I698" s="110"/>
      <c r="K698" s="110"/>
    </row>
    <row r="699" ht="15.75" customHeight="1">
      <c r="B699" s="173"/>
      <c r="D699" s="111"/>
      <c r="E699" s="111"/>
      <c r="F699" s="108"/>
      <c r="G699" s="112"/>
      <c r="I699" s="110"/>
      <c r="K699" s="110"/>
    </row>
    <row r="700" ht="15.75" customHeight="1">
      <c r="B700" s="173"/>
      <c r="D700" s="111"/>
      <c r="E700" s="111"/>
      <c r="F700" s="108"/>
      <c r="G700" s="112"/>
      <c r="I700" s="110"/>
      <c r="K700" s="110"/>
    </row>
    <row r="701" ht="15.75" customHeight="1">
      <c r="B701" s="173"/>
      <c r="D701" s="111"/>
      <c r="E701" s="111"/>
      <c r="F701" s="108"/>
      <c r="G701" s="112"/>
      <c r="I701" s="110"/>
      <c r="K701" s="110"/>
    </row>
    <row r="702" ht="15.75" customHeight="1">
      <c r="B702" s="173"/>
      <c r="D702" s="111"/>
      <c r="E702" s="111"/>
      <c r="F702" s="108"/>
      <c r="G702" s="112"/>
      <c r="I702" s="110"/>
      <c r="K702" s="110"/>
    </row>
    <row r="703" ht="15.75" customHeight="1">
      <c r="B703" s="173"/>
      <c r="D703" s="111"/>
      <c r="E703" s="111"/>
      <c r="F703" s="108"/>
      <c r="G703" s="112"/>
      <c r="I703" s="110"/>
      <c r="K703" s="110"/>
    </row>
    <row r="704" ht="15.75" customHeight="1">
      <c r="B704" s="173"/>
      <c r="D704" s="111"/>
      <c r="E704" s="111"/>
      <c r="F704" s="108"/>
      <c r="G704" s="112"/>
      <c r="I704" s="110"/>
      <c r="K704" s="110"/>
    </row>
    <row r="705" ht="15.75" customHeight="1">
      <c r="B705" s="173"/>
      <c r="D705" s="111"/>
      <c r="E705" s="111"/>
      <c r="F705" s="108"/>
      <c r="G705" s="112"/>
      <c r="I705" s="110"/>
      <c r="K705" s="110"/>
    </row>
    <row r="706" ht="15.75" customHeight="1">
      <c r="B706" s="173"/>
      <c r="D706" s="111"/>
      <c r="E706" s="111"/>
      <c r="F706" s="108"/>
      <c r="G706" s="112"/>
      <c r="I706" s="110"/>
      <c r="K706" s="110"/>
    </row>
    <row r="707" ht="15.75" customHeight="1">
      <c r="B707" s="173"/>
      <c r="D707" s="111"/>
      <c r="E707" s="111"/>
      <c r="F707" s="108"/>
      <c r="G707" s="112"/>
      <c r="I707" s="110"/>
      <c r="K707" s="110"/>
    </row>
    <row r="708" ht="15.75" customHeight="1">
      <c r="B708" s="173"/>
      <c r="D708" s="111"/>
      <c r="E708" s="111"/>
      <c r="F708" s="108"/>
      <c r="G708" s="112"/>
      <c r="I708" s="110"/>
      <c r="K708" s="110"/>
    </row>
    <row r="709" ht="15.75" customHeight="1">
      <c r="B709" s="173"/>
      <c r="D709" s="111"/>
      <c r="E709" s="111"/>
      <c r="F709" s="108"/>
      <c r="G709" s="112"/>
      <c r="I709" s="110"/>
      <c r="K709" s="110"/>
    </row>
    <row r="710" ht="15.75" customHeight="1">
      <c r="B710" s="173"/>
      <c r="D710" s="111"/>
      <c r="E710" s="111"/>
      <c r="F710" s="108"/>
      <c r="G710" s="112"/>
      <c r="I710" s="110"/>
      <c r="K710" s="110"/>
    </row>
    <row r="711" ht="15.75" customHeight="1">
      <c r="B711" s="173"/>
      <c r="D711" s="111"/>
      <c r="E711" s="111"/>
      <c r="F711" s="108"/>
      <c r="G711" s="112"/>
      <c r="I711" s="110"/>
      <c r="K711" s="110"/>
    </row>
    <row r="712" ht="15.75" customHeight="1">
      <c r="B712" s="173"/>
      <c r="D712" s="111"/>
      <c r="E712" s="111"/>
      <c r="F712" s="108"/>
      <c r="G712" s="112"/>
      <c r="I712" s="110"/>
      <c r="K712" s="110"/>
    </row>
    <row r="713" ht="15.75" customHeight="1">
      <c r="B713" s="173"/>
      <c r="D713" s="111"/>
      <c r="E713" s="111"/>
      <c r="F713" s="108"/>
      <c r="G713" s="112"/>
      <c r="I713" s="110"/>
      <c r="K713" s="110"/>
    </row>
    <row r="714" ht="15.75" customHeight="1">
      <c r="B714" s="173"/>
      <c r="D714" s="111"/>
      <c r="E714" s="111"/>
      <c r="F714" s="108"/>
      <c r="G714" s="112"/>
      <c r="I714" s="110"/>
      <c r="K714" s="110"/>
    </row>
    <row r="715" ht="15.75" customHeight="1">
      <c r="B715" s="173"/>
      <c r="D715" s="111"/>
      <c r="E715" s="111"/>
      <c r="F715" s="108"/>
      <c r="G715" s="112"/>
      <c r="I715" s="110"/>
      <c r="K715" s="110"/>
    </row>
    <row r="716" ht="15.75" customHeight="1">
      <c r="B716" s="173"/>
      <c r="D716" s="111"/>
      <c r="E716" s="111"/>
      <c r="F716" s="108"/>
      <c r="G716" s="112"/>
      <c r="I716" s="110"/>
      <c r="K716" s="110"/>
    </row>
    <row r="717" ht="15.75" customHeight="1">
      <c r="B717" s="173"/>
      <c r="D717" s="111"/>
      <c r="E717" s="111"/>
      <c r="F717" s="108"/>
      <c r="G717" s="112"/>
      <c r="I717" s="110"/>
      <c r="K717" s="110"/>
    </row>
    <row r="718" ht="15.75" customHeight="1">
      <c r="B718" s="173"/>
      <c r="D718" s="111"/>
      <c r="E718" s="111"/>
      <c r="F718" s="108"/>
      <c r="G718" s="112"/>
      <c r="I718" s="110"/>
      <c r="K718" s="110"/>
    </row>
    <row r="719" ht="15.75" customHeight="1">
      <c r="B719" s="173"/>
      <c r="D719" s="111"/>
      <c r="E719" s="111"/>
      <c r="F719" s="108"/>
      <c r="G719" s="112"/>
      <c r="I719" s="110"/>
      <c r="K719" s="110"/>
    </row>
    <row r="720" ht="15.75" customHeight="1">
      <c r="B720" s="173"/>
      <c r="D720" s="111"/>
      <c r="E720" s="111"/>
      <c r="F720" s="108"/>
      <c r="G720" s="112"/>
      <c r="I720" s="110"/>
      <c r="K720" s="110"/>
    </row>
    <row r="721" ht="15.75" customHeight="1">
      <c r="B721" s="173"/>
      <c r="D721" s="111"/>
      <c r="E721" s="111"/>
      <c r="F721" s="108"/>
      <c r="G721" s="112"/>
      <c r="I721" s="110"/>
      <c r="K721" s="110"/>
    </row>
    <row r="722" ht="15.75" customHeight="1">
      <c r="B722" s="173"/>
      <c r="D722" s="111"/>
      <c r="E722" s="111"/>
      <c r="F722" s="108"/>
      <c r="G722" s="112"/>
      <c r="I722" s="110"/>
      <c r="K722" s="110"/>
    </row>
    <row r="723" ht="15.75" customHeight="1">
      <c r="B723" s="173"/>
      <c r="D723" s="111"/>
      <c r="E723" s="111"/>
      <c r="F723" s="108"/>
      <c r="G723" s="112"/>
      <c r="I723" s="110"/>
      <c r="K723" s="110"/>
    </row>
    <row r="724" ht="15.75" customHeight="1">
      <c r="B724" s="173"/>
      <c r="D724" s="111"/>
      <c r="E724" s="111"/>
      <c r="F724" s="108"/>
      <c r="G724" s="112"/>
      <c r="I724" s="110"/>
      <c r="K724" s="110"/>
    </row>
    <row r="725" ht="15.75" customHeight="1">
      <c r="B725" s="173"/>
      <c r="D725" s="111"/>
      <c r="E725" s="111"/>
      <c r="F725" s="108"/>
      <c r="G725" s="112"/>
      <c r="I725" s="110"/>
      <c r="K725" s="110"/>
    </row>
    <row r="726" ht="15.75" customHeight="1">
      <c r="B726" s="173"/>
      <c r="D726" s="111"/>
      <c r="E726" s="111"/>
      <c r="F726" s="108"/>
      <c r="G726" s="112"/>
      <c r="I726" s="110"/>
      <c r="K726" s="110"/>
    </row>
    <row r="727" ht="15.75" customHeight="1">
      <c r="B727" s="173"/>
      <c r="D727" s="111"/>
      <c r="E727" s="111"/>
      <c r="F727" s="108"/>
      <c r="G727" s="112"/>
      <c r="I727" s="110"/>
      <c r="K727" s="110"/>
    </row>
    <row r="728" ht="15.75" customHeight="1">
      <c r="B728" s="173"/>
      <c r="D728" s="111"/>
      <c r="E728" s="111"/>
      <c r="F728" s="108"/>
      <c r="G728" s="112"/>
      <c r="I728" s="110"/>
      <c r="K728" s="110"/>
    </row>
    <row r="729" ht="15.75" customHeight="1">
      <c r="B729" s="173"/>
      <c r="D729" s="111"/>
      <c r="E729" s="111"/>
      <c r="F729" s="108"/>
      <c r="G729" s="112"/>
      <c r="I729" s="110"/>
      <c r="K729" s="110"/>
    </row>
    <row r="730" ht="15.75" customHeight="1">
      <c r="B730" s="173"/>
      <c r="D730" s="111"/>
      <c r="E730" s="111"/>
      <c r="F730" s="108"/>
      <c r="G730" s="112"/>
      <c r="I730" s="110"/>
      <c r="K730" s="110"/>
    </row>
    <row r="731" ht="15.75" customHeight="1">
      <c r="B731" s="173"/>
      <c r="D731" s="111"/>
      <c r="E731" s="111"/>
      <c r="F731" s="108"/>
      <c r="G731" s="112"/>
      <c r="I731" s="110"/>
      <c r="K731" s="110"/>
    </row>
    <row r="732" ht="15.75" customHeight="1">
      <c r="B732" s="173"/>
      <c r="D732" s="111"/>
      <c r="E732" s="111"/>
      <c r="F732" s="108"/>
      <c r="G732" s="112"/>
      <c r="I732" s="110"/>
      <c r="K732" s="110"/>
    </row>
    <row r="733" ht="15.75" customHeight="1">
      <c r="B733" s="173"/>
      <c r="D733" s="111"/>
      <c r="E733" s="111"/>
      <c r="F733" s="108"/>
      <c r="G733" s="112"/>
      <c r="I733" s="110"/>
      <c r="K733" s="110"/>
    </row>
    <row r="734" ht="15.75" customHeight="1">
      <c r="B734" s="173"/>
      <c r="D734" s="111"/>
      <c r="E734" s="111"/>
      <c r="F734" s="108"/>
      <c r="G734" s="112"/>
      <c r="I734" s="110"/>
      <c r="K734" s="110"/>
    </row>
    <row r="735" ht="15.75" customHeight="1">
      <c r="B735" s="173"/>
      <c r="D735" s="111"/>
      <c r="E735" s="111"/>
      <c r="F735" s="108"/>
      <c r="G735" s="112"/>
      <c r="I735" s="110"/>
      <c r="K735" s="110"/>
    </row>
    <row r="736" ht="15.75" customHeight="1">
      <c r="B736" s="173"/>
      <c r="D736" s="111"/>
      <c r="E736" s="111"/>
      <c r="F736" s="108"/>
      <c r="G736" s="112"/>
      <c r="I736" s="110"/>
      <c r="K736" s="110"/>
    </row>
    <row r="737" ht="15.75" customHeight="1">
      <c r="B737" s="173"/>
      <c r="D737" s="111"/>
      <c r="E737" s="111"/>
      <c r="F737" s="108"/>
      <c r="G737" s="112"/>
      <c r="I737" s="110"/>
      <c r="K737" s="110"/>
    </row>
    <row r="738" ht="15.75" customHeight="1">
      <c r="B738" s="173"/>
      <c r="D738" s="111"/>
      <c r="E738" s="111"/>
      <c r="F738" s="108"/>
      <c r="G738" s="112"/>
      <c r="I738" s="110"/>
      <c r="K738" s="110"/>
    </row>
    <row r="739" ht="15.75" customHeight="1">
      <c r="B739" s="173"/>
      <c r="D739" s="111"/>
      <c r="E739" s="111"/>
      <c r="F739" s="108"/>
      <c r="G739" s="112"/>
      <c r="I739" s="110"/>
      <c r="K739" s="110"/>
    </row>
    <row r="740" ht="15.75" customHeight="1">
      <c r="B740" s="173"/>
      <c r="D740" s="111"/>
      <c r="E740" s="111"/>
      <c r="F740" s="108"/>
      <c r="G740" s="112"/>
      <c r="I740" s="110"/>
      <c r="K740" s="110"/>
    </row>
    <row r="741" ht="15.75" customHeight="1">
      <c r="B741" s="173"/>
      <c r="D741" s="111"/>
      <c r="E741" s="111"/>
      <c r="F741" s="108"/>
      <c r="G741" s="112"/>
      <c r="I741" s="110"/>
      <c r="K741" s="110"/>
    </row>
    <row r="742" ht="15.75" customHeight="1">
      <c r="B742" s="173"/>
      <c r="D742" s="111"/>
      <c r="E742" s="111"/>
      <c r="F742" s="108"/>
      <c r="G742" s="112"/>
      <c r="I742" s="110"/>
      <c r="K742" s="110"/>
    </row>
    <row r="743" ht="15.75" customHeight="1">
      <c r="B743" s="173"/>
      <c r="D743" s="111"/>
      <c r="E743" s="111"/>
      <c r="F743" s="108"/>
      <c r="G743" s="112"/>
      <c r="I743" s="110"/>
      <c r="K743" s="110"/>
    </row>
    <row r="744" ht="15.75" customHeight="1">
      <c r="B744" s="173"/>
      <c r="D744" s="111"/>
      <c r="E744" s="111"/>
      <c r="F744" s="108"/>
      <c r="G744" s="112"/>
      <c r="I744" s="110"/>
      <c r="K744" s="110"/>
    </row>
    <row r="745" ht="15.75" customHeight="1">
      <c r="B745" s="173"/>
      <c r="D745" s="111"/>
      <c r="E745" s="111"/>
      <c r="F745" s="108"/>
      <c r="G745" s="112"/>
      <c r="I745" s="110"/>
      <c r="K745" s="110"/>
    </row>
    <row r="746" ht="15.75" customHeight="1">
      <c r="B746" s="173"/>
      <c r="D746" s="111"/>
      <c r="E746" s="111"/>
      <c r="F746" s="108"/>
      <c r="G746" s="112"/>
      <c r="I746" s="110"/>
      <c r="K746" s="110"/>
    </row>
    <row r="747" ht="15.75" customHeight="1">
      <c r="B747" s="173"/>
      <c r="D747" s="111"/>
      <c r="E747" s="111"/>
      <c r="F747" s="108"/>
      <c r="G747" s="112"/>
      <c r="I747" s="110"/>
      <c r="K747" s="110"/>
    </row>
    <row r="748" ht="15.75" customHeight="1">
      <c r="B748" s="173"/>
      <c r="D748" s="111"/>
      <c r="E748" s="111"/>
      <c r="F748" s="108"/>
      <c r="G748" s="112"/>
      <c r="I748" s="110"/>
      <c r="K748" s="110"/>
    </row>
    <row r="749" ht="15.75" customHeight="1">
      <c r="B749" s="173"/>
      <c r="D749" s="111"/>
      <c r="E749" s="111"/>
      <c r="F749" s="108"/>
      <c r="G749" s="112"/>
      <c r="I749" s="110"/>
      <c r="K749" s="110"/>
    </row>
    <row r="750" ht="15.75" customHeight="1">
      <c r="B750" s="173"/>
      <c r="D750" s="111"/>
      <c r="E750" s="111"/>
      <c r="F750" s="108"/>
      <c r="G750" s="112"/>
      <c r="I750" s="110"/>
      <c r="K750" s="110"/>
    </row>
    <row r="751" ht="15.75" customHeight="1">
      <c r="B751" s="173"/>
      <c r="D751" s="111"/>
      <c r="E751" s="111"/>
      <c r="F751" s="108"/>
      <c r="G751" s="112"/>
      <c r="I751" s="110"/>
      <c r="K751" s="110"/>
    </row>
    <row r="752" ht="15.75" customHeight="1">
      <c r="B752" s="173"/>
      <c r="D752" s="111"/>
      <c r="E752" s="111"/>
      <c r="F752" s="108"/>
      <c r="G752" s="112"/>
      <c r="I752" s="110"/>
      <c r="K752" s="110"/>
    </row>
    <row r="753" ht="15.75" customHeight="1">
      <c r="B753" s="173"/>
      <c r="D753" s="111"/>
      <c r="E753" s="111"/>
      <c r="F753" s="108"/>
      <c r="G753" s="112"/>
      <c r="I753" s="110"/>
      <c r="K753" s="110"/>
    </row>
    <row r="754" ht="15.75" customHeight="1">
      <c r="B754" s="173"/>
      <c r="D754" s="111"/>
      <c r="E754" s="111"/>
      <c r="F754" s="108"/>
      <c r="G754" s="112"/>
      <c r="I754" s="110"/>
      <c r="K754" s="110"/>
    </row>
    <row r="755" ht="15.75" customHeight="1">
      <c r="B755" s="173"/>
      <c r="D755" s="111"/>
      <c r="E755" s="111"/>
      <c r="F755" s="108"/>
      <c r="G755" s="112"/>
      <c r="I755" s="110"/>
      <c r="K755" s="110"/>
    </row>
    <row r="756" ht="15.75" customHeight="1">
      <c r="B756" s="173"/>
      <c r="D756" s="111"/>
      <c r="E756" s="111"/>
      <c r="F756" s="108"/>
      <c r="G756" s="112"/>
      <c r="I756" s="110"/>
      <c r="K756" s="110"/>
    </row>
    <row r="757" ht="15.75" customHeight="1">
      <c r="B757" s="173"/>
      <c r="D757" s="111"/>
      <c r="E757" s="111"/>
      <c r="F757" s="108"/>
      <c r="G757" s="112"/>
      <c r="I757" s="110"/>
      <c r="K757" s="110"/>
    </row>
    <row r="758" ht="15.75" customHeight="1">
      <c r="B758" s="173"/>
      <c r="D758" s="111"/>
      <c r="E758" s="111"/>
      <c r="F758" s="108"/>
      <c r="G758" s="112"/>
      <c r="I758" s="110"/>
      <c r="K758" s="110"/>
    </row>
    <row r="759" ht="15.75" customHeight="1">
      <c r="B759" s="173"/>
      <c r="D759" s="111"/>
      <c r="E759" s="111"/>
      <c r="F759" s="108"/>
      <c r="G759" s="112"/>
      <c r="I759" s="110"/>
      <c r="K759" s="110"/>
    </row>
    <row r="760" ht="15.75" customHeight="1">
      <c r="B760" s="173"/>
      <c r="D760" s="111"/>
      <c r="E760" s="111"/>
      <c r="F760" s="108"/>
      <c r="G760" s="112"/>
      <c r="I760" s="110"/>
      <c r="K760" s="110"/>
    </row>
    <row r="761" ht="15.75" customHeight="1">
      <c r="B761" s="173"/>
      <c r="D761" s="111"/>
      <c r="E761" s="111"/>
      <c r="F761" s="108"/>
      <c r="G761" s="112"/>
      <c r="I761" s="110"/>
      <c r="K761" s="110"/>
    </row>
    <row r="762" ht="15.75" customHeight="1">
      <c r="B762" s="173"/>
      <c r="D762" s="111"/>
      <c r="E762" s="111"/>
      <c r="F762" s="108"/>
      <c r="G762" s="112"/>
      <c r="I762" s="110"/>
      <c r="K762" s="110"/>
    </row>
    <row r="763" ht="15.75" customHeight="1">
      <c r="B763" s="173"/>
      <c r="D763" s="111"/>
      <c r="E763" s="111"/>
      <c r="F763" s="108"/>
      <c r="G763" s="112"/>
      <c r="I763" s="110"/>
      <c r="K763" s="110"/>
    </row>
    <row r="764" ht="15.75" customHeight="1">
      <c r="B764" s="173"/>
      <c r="D764" s="111"/>
      <c r="E764" s="111"/>
      <c r="F764" s="108"/>
      <c r="G764" s="112"/>
      <c r="I764" s="110"/>
      <c r="K764" s="110"/>
    </row>
    <row r="765" ht="15.75" customHeight="1">
      <c r="B765" s="173"/>
      <c r="D765" s="111"/>
      <c r="E765" s="111"/>
      <c r="F765" s="108"/>
      <c r="G765" s="112"/>
      <c r="I765" s="110"/>
      <c r="K765" s="110"/>
    </row>
    <row r="766" ht="15.75" customHeight="1">
      <c r="B766" s="173"/>
      <c r="D766" s="111"/>
      <c r="E766" s="111"/>
      <c r="F766" s="108"/>
      <c r="G766" s="112"/>
      <c r="I766" s="110"/>
      <c r="K766" s="110"/>
    </row>
    <row r="767" ht="15.75" customHeight="1">
      <c r="B767" s="173"/>
      <c r="D767" s="111"/>
      <c r="E767" s="111"/>
      <c r="F767" s="108"/>
      <c r="G767" s="112"/>
      <c r="I767" s="110"/>
      <c r="K767" s="110"/>
    </row>
    <row r="768" ht="15.75" customHeight="1">
      <c r="B768" s="173"/>
      <c r="D768" s="111"/>
      <c r="E768" s="111"/>
      <c r="F768" s="108"/>
      <c r="G768" s="112"/>
      <c r="I768" s="110"/>
      <c r="K768" s="110"/>
    </row>
    <row r="769" ht="15.75" customHeight="1">
      <c r="B769" s="173"/>
      <c r="D769" s="111"/>
      <c r="E769" s="111"/>
      <c r="F769" s="108"/>
      <c r="G769" s="112"/>
      <c r="I769" s="110"/>
      <c r="K769" s="110"/>
    </row>
    <row r="770" ht="15.75" customHeight="1">
      <c r="B770" s="173"/>
      <c r="D770" s="111"/>
      <c r="E770" s="111"/>
      <c r="F770" s="108"/>
      <c r="G770" s="112"/>
      <c r="I770" s="110"/>
      <c r="K770" s="110"/>
    </row>
    <row r="771" ht="15.75" customHeight="1">
      <c r="B771" s="173"/>
      <c r="D771" s="111"/>
      <c r="E771" s="111"/>
      <c r="F771" s="108"/>
      <c r="G771" s="112"/>
      <c r="I771" s="110"/>
      <c r="K771" s="110"/>
    </row>
    <row r="772" ht="15.75" customHeight="1">
      <c r="B772" s="173"/>
      <c r="D772" s="111"/>
      <c r="E772" s="111"/>
      <c r="F772" s="108"/>
      <c r="G772" s="112"/>
      <c r="I772" s="110"/>
      <c r="K772" s="110"/>
    </row>
    <row r="773" ht="15.75" customHeight="1">
      <c r="B773" s="173"/>
      <c r="D773" s="111"/>
      <c r="E773" s="111"/>
      <c r="F773" s="108"/>
      <c r="G773" s="112"/>
      <c r="I773" s="110"/>
      <c r="K773" s="110"/>
    </row>
    <row r="774" ht="15.75" customHeight="1">
      <c r="B774" s="173"/>
      <c r="D774" s="111"/>
      <c r="E774" s="111"/>
      <c r="F774" s="108"/>
      <c r="G774" s="112"/>
      <c r="I774" s="110"/>
      <c r="K774" s="110"/>
    </row>
    <row r="775" ht="15.75" customHeight="1">
      <c r="B775" s="173"/>
      <c r="D775" s="111"/>
      <c r="E775" s="111"/>
      <c r="F775" s="108"/>
      <c r="G775" s="112"/>
      <c r="I775" s="110"/>
      <c r="K775" s="110"/>
    </row>
    <row r="776" ht="15.75" customHeight="1">
      <c r="B776" s="173"/>
      <c r="D776" s="111"/>
      <c r="E776" s="111"/>
      <c r="F776" s="108"/>
      <c r="G776" s="112"/>
      <c r="I776" s="110"/>
      <c r="K776" s="110"/>
    </row>
    <row r="777" ht="15.75" customHeight="1">
      <c r="B777" s="173"/>
      <c r="D777" s="111"/>
      <c r="E777" s="111"/>
      <c r="F777" s="108"/>
      <c r="G777" s="112"/>
      <c r="I777" s="110"/>
      <c r="K777" s="110"/>
    </row>
    <row r="778" ht="15.75" customHeight="1">
      <c r="B778" s="173"/>
      <c r="D778" s="111"/>
      <c r="E778" s="111"/>
      <c r="F778" s="108"/>
      <c r="G778" s="112"/>
      <c r="I778" s="110"/>
      <c r="K778" s="110"/>
    </row>
    <row r="779" ht="15.75" customHeight="1">
      <c r="B779" s="173"/>
      <c r="D779" s="111"/>
      <c r="E779" s="111"/>
      <c r="F779" s="108"/>
      <c r="G779" s="112"/>
      <c r="I779" s="110"/>
      <c r="K779" s="110"/>
    </row>
    <row r="780" ht="15.75" customHeight="1">
      <c r="B780" s="173"/>
      <c r="D780" s="111"/>
      <c r="E780" s="111"/>
      <c r="F780" s="108"/>
      <c r="G780" s="112"/>
      <c r="I780" s="110"/>
      <c r="K780" s="110"/>
    </row>
    <row r="781" ht="15.75" customHeight="1">
      <c r="B781" s="173"/>
      <c r="D781" s="111"/>
      <c r="E781" s="111"/>
      <c r="F781" s="108"/>
      <c r="G781" s="112"/>
      <c r="I781" s="110"/>
      <c r="K781" s="110"/>
    </row>
    <row r="782" ht="15.75" customHeight="1">
      <c r="B782" s="173"/>
      <c r="D782" s="111"/>
      <c r="E782" s="111"/>
      <c r="F782" s="108"/>
      <c r="G782" s="112"/>
      <c r="I782" s="110"/>
      <c r="K782" s="110"/>
    </row>
    <row r="783" ht="15.75" customHeight="1">
      <c r="B783" s="173"/>
      <c r="D783" s="111"/>
      <c r="E783" s="111"/>
      <c r="F783" s="108"/>
      <c r="G783" s="112"/>
      <c r="I783" s="110"/>
      <c r="K783" s="110"/>
    </row>
    <row r="784" ht="15.75" customHeight="1">
      <c r="B784" s="173"/>
      <c r="D784" s="111"/>
      <c r="E784" s="111"/>
      <c r="F784" s="108"/>
      <c r="G784" s="112"/>
      <c r="I784" s="110"/>
      <c r="K784" s="110"/>
    </row>
    <row r="785" ht="15.75" customHeight="1">
      <c r="B785" s="173"/>
      <c r="D785" s="111"/>
      <c r="E785" s="111"/>
      <c r="F785" s="108"/>
      <c r="G785" s="112"/>
      <c r="I785" s="110"/>
      <c r="K785" s="110"/>
    </row>
    <row r="786" ht="15.75" customHeight="1">
      <c r="B786" s="173"/>
      <c r="D786" s="111"/>
      <c r="E786" s="111"/>
      <c r="F786" s="108"/>
      <c r="G786" s="112"/>
      <c r="I786" s="110"/>
      <c r="K786" s="110"/>
    </row>
    <row r="787" ht="15.75" customHeight="1">
      <c r="B787" s="173"/>
      <c r="D787" s="111"/>
      <c r="E787" s="111"/>
      <c r="F787" s="108"/>
      <c r="G787" s="112"/>
      <c r="I787" s="110"/>
      <c r="K787" s="110"/>
    </row>
    <row r="788" ht="15.75" customHeight="1">
      <c r="B788" s="173"/>
      <c r="D788" s="111"/>
      <c r="E788" s="111"/>
      <c r="F788" s="108"/>
      <c r="G788" s="112"/>
      <c r="I788" s="110"/>
      <c r="K788" s="110"/>
    </row>
    <row r="789" ht="15.75" customHeight="1">
      <c r="B789" s="173"/>
      <c r="D789" s="111"/>
      <c r="E789" s="111"/>
      <c r="F789" s="108"/>
      <c r="G789" s="112"/>
      <c r="I789" s="110"/>
      <c r="K789" s="110"/>
    </row>
    <row r="790" ht="15.75" customHeight="1">
      <c r="B790" s="173"/>
      <c r="D790" s="111"/>
      <c r="E790" s="111"/>
      <c r="F790" s="108"/>
      <c r="G790" s="112"/>
      <c r="I790" s="110"/>
      <c r="K790" s="110"/>
    </row>
    <row r="791" ht="15.75" customHeight="1">
      <c r="B791" s="173"/>
      <c r="D791" s="111"/>
      <c r="E791" s="111"/>
      <c r="F791" s="108"/>
      <c r="G791" s="112"/>
      <c r="I791" s="110"/>
      <c r="K791" s="110"/>
    </row>
    <row r="792" ht="15.75" customHeight="1">
      <c r="B792" s="173"/>
      <c r="D792" s="111"/>
      <c r="E792" s="111"/>
      <c r="F792" s="108"/>
      <c r="G792" s="112"/>
      <c r="I792" s="110"/>
      <c r="K792" s="110"/>
    </row>
    <row r="793" ht="15.75" customHeight="1">
      <c r="B793" s="173"/>
      <c r="D793" s="111"/>
      <c r="E793" s="111"/>
      <c r="F793" s="108"/>
      <c r="G793" s="112"/>
      <c r="I793" s="110"/>
      <c r="K793" s="110"/>
    </row>
    <row r="794" ht="15.75" customHeight="1">
      <c r="B794" s="173"/>
      <c r="D794" s="111"/>
      <c r="E794" s="111"/>
      <c r="F794" s="108"/>
      <c r="G794" s="112"/>
      <c r="I794" s="110"/>
      <c r="K794" s="110"/>
    </row>
    <row r="795" ht="15.75" customHeight="1">
      <c r="B795" s="173"/>
      <c r="D795" s="111"/>
      <c r="E795" s="111"/>
      <c r="F795" s="108"/>
      <c r="G795" s="112"/>
      <c r="I795" s="110"/>
      <c r="K795" s="110"/>
    </row>
    <row r="796" ht="15.75" customHeight="1">
      <c r="B796" s="173"/>
      <c r="D796" s="111"/>
      <c r="E796" s="111"/>
      <c r="F796" s="108"/>
      <c r="G796" s="112"/>
      <c r="I796" s="110"/>
      <c r="K796" s="110"/>
    </row>
    <row r="797" ht="15.75" customHeight="1">
      <c r="B797" s="173"/>
      <c r="D797" s="111"/>
      <c r="E797" s="111"/>
      <c r="F797" s="108"/>
      <c r="G797" s="112"/>
      <c r="I797" s="110"/>
      <c r="K797" s="110"/>
    </row>
    <row r="798" ht="15.75" customHeight="1">
      <c r="B798" s="173"/>
      <c r="D798" s="111"/>
      <c r="E798" s="111"/>
      <c r="F798" s="108"/>
      <c r="G798" s="112"/>
      <c r="I798" s="110"/>
      <c r="K798" s="110"/>
    </row>
    <row r="799" ht="15.75" customHeight="1">
      <c r="B799" s="173"/>
      <c r="D799" s="111"/>
      <c r="E799" s="111"/>
      <c r="F799" s="108"/>
      <c r="G799" s="112"/>
      <c r="I799" s="110"/>
      <c r="K799" s="110"/>
    </row>
    <row r="800" ht="15.75" customHeight="1">
      <c r="B800" s="173"/>
      <c r="D800" s="111"/>
      <c r="E800" s="111"/>
      <c r="F800" s="108"/>
      <c r="G800" s="112"/>
      <c r="I800" s="110"/>
      <c r="K800" s="110"/>
    </row>
    <row r="801" ht="15.75" customHeight="1">
      <c r="B801" s="173"/>
      <c r="D801" s="111"/>
      <c r="E801" s="111"/>
      <c r="F801" s="108"/>
      <c r="G801" s="112"/>
      <c r="I801" s="110"/>
      <c r="K801" s="110"/>
    </row>
    <row r="802" ht="15.75" customHeight="1">
      <c r="B802" s="173"/>
      <c r="D802" s="111"/>
      <c r="E802" s="111"/>
      <c r="F802" s="108"/>
      <c r="G802" s="112"/>
      <c r="I802" s="110"/>
      <c r="K802" s="110"/>
    </row>
    <row r="803" ht="15.75" customHeight="1">
      <c r="B803" s="173"/>
      <c r="D803" s="111"/>
      <c r="E803" s="111"/>
      <c r="F803" s="108"/>
      <c r="G803" s="112"/>
      <c r="I803" s="110"/>
      <c r="K803" s="110"/>
    </row>
    <row r="804" ht="15.75" customHeight="1">
      <c r="B804" s="173"/>
      <c r="D804" s="111"/>
      <c r="E804" s="111"/>
      <c r="F804" s="108"/>
      <c r="G804" s="112"/>
      <c r="I804" s="110"/>
      <c r="K804" s="110"/>
    </row>
    <row r="805" ht="15.75" customHeight="1">
      <c r="B805" s="173"/>
      <c r="D805" s="111"/>
      <c r="E805" s="111"/>
      <c r="F805" s="108"/>
      <c r="G805" s="112"/>
      <c r="I805" s="110"/>
      <c r="K805" s="110"/>
    </row>
    <row r="806" ht="15.75" customHeight="1">
      <c r="B806" s="173"/>
      <c r="D806" s="111"/>
      <c r="E806" s="111"/>
      <c r="F806" s="108"/>
      <c r="G806" s="112"/>
      <c r="I806" s="110"/>
      <c r="K806" s="110"/>
    </row>
    <row r="807" ht="15.75" customHeight="1">
      <c r="B807" s="173"/>
      <c r="D807" s="111"/>
      <c r="E807" s="111"/>
      <c r="F807" s="108"/>
      <c r="G807" s="112"/>
      <c r="I807" s="110"/>
      <c r="K807" s="110"/>
    </row>
    <row r="808" ht="15.75" customHeight="1">
      <c r="B808" s="173"/>
      <c r="D808" s="111"/>
      <c r="E808" s="111"/>
      <c r="F808" s="108"/>
      <c r="G808" s="112"/>
      <c r="I808" s="110"/>
      <c r="K808" s="110"/>
    </row>
    <row r="809" ht="15.75" customHeight="1">
      <c r="B809" s="173"/>
      <c r="D809" s="111"/>
      <c r="E809" s="111"/>
      <c r="F809" s="108"/>
      <c r="G809" s="112"/>
      <c r="I809" s="110"/>
      <c r="K809" s="110"/>
    </row>
    <row r="810" ht="15.75" customHeight="1">
      <c r="B810" s="173"/>
      <c r="D810" s="111"/>
      <c r="E810" s="111"/>
      <c r="F810" s="108"/>
      <c r="G810" s="112"/>
      <c r="I810" s="110"/>
      <c r="K810" s="110"/>
    </row>
    <row r="811" ht="15.75" customHeight="1">
      <c r="B811" s="173"/>
      <c r="D811" s="111"/>
      <c r="E811" s="111"/>
      <c r="F811" s="108"/>
      <c r="G811" s="112"/>
      <c r="I811" s="110"/>
      <c r="K811" s="110"/>
    </row>
    <row r="812" ht="15.75" customHeight="1">
      <c r="B812" s="173"/>
      <c r="D812" s="111"/>
      <c r="E812" s="111"/>
      <c r="F812" s="108"/>
      <c r="G812" s="112"/>
      <c r="I812" s="110"/>
      <c r="K812" s="110"/>
    </row>
    <row r="813" ht="15.75" customHeight="1">
      <c r="B813" s="173"/>
      <c r="D813" s="111"/>
      <c r="E813" s="111"/>
      <c r="F813" s="108"/>
      <c r="G813" s="112"/>
      <c r="I813" s="110"/>
      <c r="K813" s="110"/>
    </row>
    <row r="814" ht="15.75" customHeight="1">
      <c r="B814" s="173"/>
      <c r="D814" s="111"/>
      <c r="E814" s="111"/>
      <c r="F814" s="108"/>
      <c r="G814" s="112"/>
      <c r="I814" s="110"/>
      <c r="K814" s="110"/>
    </row>
    <row r="815" ht="15.75" customHeight="1">
      <c r="B815" s="173"/>
      <c r="D815" s="111"/>
      <c r="E815" s="111"/>
      <c r="F815" s="108"/>
      <c r="G815" s="112"/>
      <c r="I815" s="110"/>
      <c r="K815" s="110"/>
    </row>
    <row r="816" ht="15.75" customHeight="1">
      <c r="B816" s="173"/>
      <c r="D816" s="111"/>
      <c r="E816" s="111"/>
      <c r="F816" s="108"/>
      <c r="G816" s="112"/>
      <c r="I816" s="110"/>
      <c r="K816" s="110"/>
    </row>
    <row r="817" ht="15.75" customHeight="1">
      <c r="B817" s="173"/>
      <c r="D817" s="111"/>
      <c r="E817" s="111"/>
      <c r="F817" s="108"/>
      <c r="G817" s="112"/>
      <c r="I817" s="110"/>
      <c r="K817" s="110"/>
    </row>
    <row r="818" ht="15.75" customHeight="1">
      <c r="B818" s="173"/>
      <c r="D818" s="111"/>
      <c r="E818" s="111"/>
      <c r="F818" s="108"/>
      <c r="G818" s="112"/>
      <c r="I818" s="110"/>
      <c r="K818" s="110"/>
    </row>
    <row r="819" ht="15.75" customHeight="1">
      <c r="B819" s="173"/>
      <c r="D819" s="111"/>
      <c r="E819" s="111"/>
      <c r="F819" s="108"/>
      <c r="G819" s="112"/>
      <c r="I819" s="110"/>
      <c r="K819" s="110"/>
    </row>
    <row r="820" ht="15.75" customHeight="1">
      <c r="B820" s="173"/>
      <c r="D820" s="111"/>
      <c r="E820" s="111"/>
      <c r="F820" s="108"/>
      <c r="G820" s="112"/>
      <c r="I820" s="110"/>
      <c r="K820" s="110"/>
    </row>
    <row r="821" ht="15.75" customHeight="1">
      <c r="B821" s="173"/>
      <c r="D821" s="111"/>
      <c r="E821" s="111"/>
      <c r="F821" s="108"/>
      <c r="G821" s="112"/>
      <c r="I821" s="110"/>
      <c r="K821" s="110"/>
    </row>
    <row r="822" ht="15.75" customHeight="1">
      <c r="B822" s="173"/>
      <c r="D822" s="111"/>
      <c r="E822" s="111"/>
      <c r="F822" s="108"/>
      <c r="G822" s="112"/>
      <c r="I822" s="110"/>
      <c r="K822" s="110"/>
    </row>
    <row r="823" ht="15.75" customHeight="1">
      <c r="B823" s="173"/>
      <c r="D823" s="111"/>
      <c r="E823" s="111"/>
      <c r="F823" s="108"/>
      <c r="G823" s="112"/>
      <c r="I823" s="110"/>
      <c r="K823" s="110"/>
    </row>
    <row r="824" ht="15.75" customHeight="1">
      <c r="B824" s="173"/>
      <c r="D824" s="111"/>
      <c r="E824" s="111"/>
      <c r="F824" s="108"/>
      <c r="G824" s="112"/>
      <c r="I824" s="110"/>
      <c r="K824" s="110"/>
    </row>
    <row r="825" ht="15.75" customHeight="1">
      <c r="B825" s="173"/>
      <c r="D825" s="111"/>
      <c r="E825" s="111"/>
      <c r="F825" s="108"/>
      <c r="G825" s="112"/>
      <c r="I825" s="110"/>
      <c r="K825" s="110"/>
    </row>
    <row r="826" ht="15.75" customHeight="1">
      <c r="B826" s="173"/>
      <c r="D826" s="111"/>
      <c r="E826" s="111"/>
      <c r="F826" s="108"/>
      <c r="G826" s="112"/>
      <c r="I826" s="110"/>
      <c r="K826" s="110"/>
    </row>
    <row r="827" ht="15.75" customHeight="1">
      <c r="B827" s="173"/>
      <c r="D827" s="111"/>
      <c r="E827" s="111"/>
      <c r="F827" s="108"/>
      <c r="G827" s="112"/>
      <c r="I827" s="110"/>
      <c r="K827" s="110"/>
    </row>
    <row r="828" ht="15.75" customHeight="1">
      <c r="B828" s="173"/>
      <c r="D828" s="111"/>
      <c r="E828" s="111"/>
      <c r="F828" s="108"/>
      <c r="G828" s="112"/>
      <c r="I828" s="110"/>
      <c r="K828" s="110"/>
    </row>
    <row r="829" ht="15.75" customHeight="1">
      <c r="B829" s="173"/>
      <c r="D829" s="111"/>
      <c r="E829" s="111"/>
      <c r="F829" s="108"/>
      <c r="G829" s="112"/>
      <c r="I829" s="110"/>
      <c r="K829" s="110"/>
    </row>
    <row r="830" ht="15.75" customHeight="1">
      <c r="B830" s="173"/>
      <c r="D830" s="111"/>
      <c r="E830" s="111"/>
      <c r="F830" s="108"/>
      <c r="G830" s="112"/>
      <c r="I830" s="110"/>
      <c r="K830" s="110"/>
    </row>
    <row r="831" ht="15.75" customHeight="1">
      <c r="B831" s="173"/>
      <c r="D831" s="111"/>
      <c r="E831" s="111"/>
      <c r="F831" s="108"/>
      <c r="G831" s="112"/>
      <c r="I831" s="110"/>
      <c r="K831" s="110"/>
    </row>
    <row r="832" ht="15.75" customHeight="1">
      <c r="B832" s="173"/>
      <c r="D832" s="111"/>
      <c r="E832" s="111"/>
      <c r="F832" s="108"/>
      <c r="G832" s="112"/>
      <c r="I832" s="110"/>
      <c r="K832" s="110"/>
    </row>
    <row r="833" ht="15.75" customHeight="1">
      <c r="B833" s="173"/>
      <c r="D833" s="111"/>
      <c r="E833" s="111"/>
      <c r="F833" s="108"/>
      <c r="G833" s="112"/>
      <c r="I833" s="110"/>
      <c r="K833" s="110"/>
    </row>
    <row r="834" ht="15.75" customHeight="1">
      <c r="B834" s="173"/>
      <c r="D834" s="111"/>
      <c r="E834" s="111"/>
      <c r="F834" s="108"/>
      <c r="G834" s="112"/>
      <c r="I834" s="110"/>
      <c r="K834" s="110"/>
    </row>
    <row r="835" ht="15.75" customHeight="1">
      <c r="B835" s="173"/>
      <c r="D835" s="111"/>
      <c r="E835" s="111"/>
      <c r="F835" s="108"/>
      <c r="G835" s="112"/>
      <c r="I835" s="110"/>
      <c r="K835" s="110"/>
    </row>
    <row r="836" ht="15.75" customHeight="1">
      <c r="B836" s="173"/>
      <c r="D836" s="111"/>
      <c r="E836" s="111"/>
      <c r="F836" s="108"/>
      <c r="G836" s="112"/>
      <c r="I836" s="110"/>
      <c r="K836" s="110"/>
    </row>
    <row r="837" ht="15.75" customHeight="1">
      <c r="B837" s="173"/>
      <c r="D837" s="111"/>
      <c r="E837" s="111"/>
      <c r="F837" s="108"/>
      <c r="G837" s="112"/>
      <c r="I837" s="110"/>
      <c r="K837" s="110"/>
    </row>
    <row r="838" ht="15.75" customHeight="1">
      <c r="B838" s="173"/>
      <c r="D838" s="111"/>
      <c r="E838" s="111"/>
      <c r="F838" s="108"/>
      <c r="G838" s="112"/>
      <c r="I838" s="110"/>
      <c r="K838" s="110"/>
    </row>
    <row r="839" ht="15.75" customHeight="1">
      <c r="B839" s="173"/>
      <c r="D839" s="111"/>
      <c r="E839" s="111"/>
      <c r="F839" s="108"/>
      <c r="G839" s="112"/>
      <c r="I839" s="110"/>
      <c r="K839" s="110"/>
    </row>
    <row r="840" ht="15.75" customHeight="1">
      <c r="B840" s="173"/>
      <c r="D840" s="111"/>
      <c r="E840" s="111"/>
      <c r="F840" s="108"/>
      <c r="G840" s="112"/>
      <c r="I840" s="110"/>
      <c r="K840" s="110"/>
    </row>
    <row r="841" ht="15.75" customHeight="1">
      <c r="B841" s="173"/>
      <c r="D841" s="111"/>
      <c r="E841" s="111"/>
      <c r="F841" s="108"/>
      <c r="G841" s="112"/>
      <c r="I841" s="110"/>
      <c r="K841" s="110"/>
    </row>
    <row r="842" ht="15.75" customHeight="1">
      <c r="B842" s="173"/>
      <c r="D842" s="111"/>
      <c r="E842" s="111"/>
      <c r="F842" s="108"/>
      <c r="G842" s="112"/>
      <c r="I842" s="110"/>
      <c r="K842" s="110"/>
    </row>
    <row r="843" ht="15.75" customHeight="1">
      <c r="B843" s="173"/>
      <c r="D843" s="111"/>
      <c r="E843" s="111"/>
      <c r="F843" s="108"/>
      <c r="G843" s="112"/>
      <c r="I843" s="110"/>
      <c r="K843" s="110"/>
    </row>
    <row r="844" ht="15.75" customHeight="1">
      <c r="B844" s="173"/>
      <c r="D844" s="111"/>
      <c r="E844" s="111"/>
      <c r="F844" s="108"/>
      <c r="G844" s="112"/>
      <c r="I844" s="110"/>
      <c r="K844" s="110"/>
    </row>
    <row r="845" ht="15.75" customHeight="1">
      <c r="B845" s="173"/>
      <c r="D845" s="111"/>
      <c r="E845" s="111"/>
      <c r="F845" s="108"/>
      <c r="G845" s="112"/>
      <c r="I845" s="110"/>
      <c r="K845" s="110"/>
    </row>
    <row r="846" ht="15.75" customHeight="1">
      <c r="B846" s="173"/>
      <c r="D846" s="111"/>
      <c r="E846" s="111"/>
      <c r="F846" s="108"/>
      <c r="G846" s="112"/>
      <c r="I846" s="110"/>
      <c r="K846" s="110"/>
    </row>
    <row r="847" ht="15.75" customHeight="1">
      <c r="B847" s="173"/>
      <c r="D847" s="111"/>
      <c r="E847" s="111"/>
      <c r="F847" s="108"/>
      <c r="G847" s="112"/>
      <c r="I847" s="110"/>
      <c r="K847" s="110"/>
    </row>
    <row r="848" ht="15.75" customHeight="1">
      <c r="B848" s="173"/>
      <c r="D848" s="111"/>
      <c r="E848" s="111"/>
      <c r="F848" s="108"/>
      <c r="G848" s="112"/>
      <c r="I848" s="110"/>
      <c r="K848" s="110"/>
    </row>
    <row r="849" ht="15.75" customHeight="1">
      <c r="B849" s="173"/>
      <c r="D849" s="111"/>
      <c r="E849" s="111"/>
      <c r="F849" s="108"/>
      <c r="G849" s="112"/>
      <c r="I849" s="110"/>
      <c r="K849" s="110"/>
    </row>
    <row r="850" ht="15.75" customHeight="1">
      <c r="B850" s="173"/>
      <c r="D850" s="111"/>
      <c r="E850" s="111"/>
      <c r="F850" s="108"/>
      <c r="G850" s="112"/>
      <c r="I850" s="110"/>
      <c r="K850" s="110"/>
    </row>
    <row r="851" ht="15.75" customHeight="1">
      <c r="B851" s="173"/>
      <c r="D851" s="111"/>
      <c r="E851" s="111"/>
      <c r="F851" s="108"/>
      <c r="G851" s="112"/>
      <c r="I851" s="110"/>
      <c r="K851" s="110"/>
    </row>
    <row r="852" ht="15.75" customHeight="1">
      <c r="B852" s="173"/>
      <c r="D852" s="111"/>
      <c r="E852" s="111"/>
      <c r="F852" s="108"/>
      <c r="G852" s="112"/>
      <c r="I852" s="110"/>
      <c r="K852" s="110"/>
    </row>
    <row r="853" ht="15.75" customHeight="1">
      <c r="B853" s="173"/>
      <c r="D853" s="111"/>
      <c r="E853" s="111"/>
      <c r="F853" s="108"/>
      <c r="G853" s="112"/>
      <c r="I853" s="110"/>
      <c r="K853" s="110"/>
    </row>
    <row r="854" ht="15.75" customHeight="1">
      <c r="B854" s="173"/>
      <c r="D854" s="111"/>
      <c r="E854" s="111"/>
      <c r="F854" s="108"/>
      <c r="G854" s="112"/>
      <c r="I854" s="110"/>
      <c r="K854" s="110"/>
    </row>
    <row r="855" ht="15.75" customHeight="1">
      <c r="B855" s="173"/>
      <c r="D855" s="111"/>
      <c r="E855" s="111"/>
      <c r="F855" s="108"/>
      <c r="G855" s="112"/>
      <c r="I855" s="110"/>
      <c r="K855" s="110"/>
    </row>
    <row r="856" ht="15.75" customHeight="1">
      <c r="B856" s="173"/>
      <c r="D856" s="111"/>
      <c r="E856" s="111"/>
      <c r="F856" s="108"/>
      <c r="G856" s="112"/>
      <c r="I856" s="110"/>
      <c r="K856" s="110"/>
    </row>
    <row r="857" ht="15.75" customHeight="1">
      <c r="B857" s="173"/>
      <c r="D857" s="111"/>
      <c r="E857" s="111"/>
      <c r="F857" s="108"/>
      <c r="G857" s="112"/>
      <c r="I857" s="110"/>
      <c r="K857" s="110"/>
    </row>
    <row r="858" ht="15.75" customHeight="1">
      <c r="B858" s="173"/>
      <c r="D858" s="111"/>
      <c r="E858" s="111"/>
      <c r="F858" s="108"/>
      <c r="G858" s="112"/>
      <c r="I858" s="110"/>
      <c r="K858" s="110"/>
    </row>
    <row r="859" ht="15.75" customHeight="1">
      <c r="B859" s="173"/>
      <c r="D859" s="111"/>
      <c r="E859" s="111"/>
      <c r="F859" s="108"/>
      <c r="G859" s="112"/>
      <c r="I859" s="110"/>
      <c r="K859" s="110"/>
    </row>
    <row r="860" ht="15.75" customHeight="1">
      <c r="B860" s="173"/>
      <c r="D860" s="111"/>
      <c r="E860" s="111"/>
      <c r="F860" s="108"/>
      <c r="G860" s="112"/>
      <c r="I860" s="110"/>
      <c r="K860" s="110"/>
    </row>
    <row r="861" ht="15.75" customHeight="1">
      <c r="B861" s="173"/>
      <c r="D861" s="111"/>
      <c r="E861" s="111"/>
      <c r="F861" s="108"/>
      <c r="G861" s="112"/>
      <c r="I861" s="110"/>
      <c r="K861" s="110"/>
    </row>
    <row r="862" ht="15.75" customHeight="1">
      <c r="B862" s="173"/>
      <c r="D862" s="111"/>
      <c r="E862" s="111"/>
      <c r="F862" s="108"/>
      <c r="G862" s="112"/>
      <c r="I862" s="110"/>
      <c r="K862" s="110"/>
    </row>
    <row r="863" ht="15.75" customHeight="1">
      <c r="B863" s="173"/>
      <c r="D863" s="111"/>
      <c r="E863" s="111"/>
      <c r="F863" s="108"/>
      <c r="G863" s="112"/>
      <c r="I863" s="110"/>
      <c r="K863" s="110"/>
    </row>
    <row r="864" ht="15.75" customHeight="1">
      <c r="B864" s="173"/>
      <c r="D864" s="111"/>
      <c r="E864" s="111"/>
      <c r="F864" s="108"/>
      <c r="G864" s="112"/>
      <c r="I864" s="110"/>
      <c r="K864" s="110"/>
    </row>
    <row r="865" ht="15.75" customHeight="1">
      <c r="B865" s="173"/>
      <c r="D865" s="111"/>
      <c r="E865" s="111"/>
      <c r="F865" s="108"/>
      <c r="G865" s="112"/>
      <c r="I865" s="110"/>
      <c r="K865" s="110"/>
    </row>
    <row r="866" ht="15.75" customHeight="1">
      <c r="B866" s="173"/>
      <c r="D866" s="111"/>
      <c r="E866" s="111"/>
      <c r="F866" s="108"/>
      <c r="G866" s="112"/>
      <c r="I866" s="110"/>
      <c r="K866" s="110"/>
    </row>
    <row r="867" ht="15.75" customHeight="1">
      <c r="B867" s="173"/>
      <c r="D867" s="111"/>
      <c r="E867" s="111"/>
      <c r="F867" s="108"/>
      <c r="G867" s="112"/>
      <c r="I867" s="110"/>
      <c r="K867" s="110"/>
    </row>
    <row r="868" ht="15.75" customHeight="1">
      <c r="B868" s="173"/>
      <c r="D868" s="111"/>
      <c r="E868" s="111"/>
      <c r="F868" s="108"/>
      <c r="G868" s="112"/>
      <c r="I868" s="110"/>
      <c r="K868" s="110"/>
    </row>
    <row r="869" ht="15.75" customHeight="1">
      <c r="B869" s="173"/>
      <c r="D869" s="111"/>
      <c r="E869" s="111"/>
      <c r="F869" s="108"/>
      <c r="G869" s="112"/>
      <c r="I869" s="110"/>
      <c r="K869" s="110"/>
    </row>
    <row r="870" ht="15.75" customHeight="1">
      <c r="B870" s="173"/>
      <c r="D870" s="111"/>
      <c r="E870" s="111"/>
      <c r="F870" s="108"/>
      <c r="G870" s="112"/>
      <c r="I870" s="110"/>
      <c r="K870" s="110"/>
    </row>
    <row r="871" ht="15.75" customHeight="1">
      <c r="B871" s="173"/>
      <c r="D871" s="111"/>
      <c r="E871" s="111"/>
      <c r="F871" s="108"/>
      <c r="G871" s="112"/>
      <c r="I871" s="110"/>
      <c r="K871" s="110"/>
    </row>
    <row r="872" ht="15.75" customHeight="1">
      <c r="B872" s="173"/>
      <c r="D872" s="111"/>
      <c r="E872" s="111"/>
      <c r="F872" s="108"/>
      <c r="G872" s="112"/>
      <c r="I872" s="110"/>
      <c r="K872" s="110"/>
    </row>
    <row r="873" ht="15.75" customHeight="1">
      <c r="B873" s="173"/>
      <c r="D873" s="111"/>
      <c r="E873" s="111"/>
      <c r="F873" s="108"/>
      <c r="G873" s="112"/>
      <c r="I873" s="110"/>
      <c r="K873" s="110"/>
    </row>
    <row r="874" ht="15.75" customHeight="1">
      <c r="B874" s="173"/>
      <c r="D874" s="111"/>
      <c r="E874" s="111"/>
      <c r="F874" s="108"/>
      <c r="G874" s="112"/>
      <c r="I874" s="110"/>
      <c r="K874" s="110"/>
    </row>
    <row r="875" ht="15.75" customHeight="1">
      <c r="B875" s="173"/>
      <c r="D875" s="111"/>
      <c r="E875" s="111"/>
      <c r="F875" s="108"/>
      <c r="G875" s="112"/>
      <c r="I875" s="110"/>
      <c r="K875" s="110"/>
    </row>
    <row r="876" ht="15.75" customHeight="1">
      <c r="B876" s="173"/>
      <c r="D876" s="111"/>
      <c r="E876" s="111"/>
      <c r="F876" s="108"/>
      <c r="G876" s="112"/>
      <c r="I876" s="110"/>
      <c r="K876" s="110"/>
    </row>
    <row r="877" ht="15.75" customHeight="1">
      <c r="B877" s="173"/>
      <c r="D877" s="111"/>
      <c r="E877" s="111"/>
      <c r="F877" s="108"/>
      <c r="G877" s="112"/>
      <c r="I877" s="110"/>
      <c r="K877" s="110"/>
    </row>
    <row r="878" ht="15.75" customHeight="1">
      <c r="B878" s="173"/>
      <c r="D878" s="111"/>
      <c r="E878" s="111"/>
      <c r="F878" s="108"/>
      <c r="G878" s="112"/>
      <c r="I878" s="110"/>
      <c r="K878" s="110"/>
    </row>
    <row r="879" ht="15.75" customHeight="1">
      <c r="B879" s="173"/>
      <c r="D879" s="111"/>
      <c r="E879" s="111"/>
      <c r="F879" s="108"/>
      <c r="G879" s="112"/>
      <c r="I879" s="110"/>
      <c r="K879" s="110"/>
    </row>
    <row r="880" ht="15.75" customHeight="1">
      <c r="B880" s="173"/>
      <c r="D880" s="111"/>
      <c r="E880" s="111"/>
      <c r="F880" s="108"/>
      <c r="G880" s="112"/>
      <c r="I880" s="110"/>
      <c r="K880" s="110"/>
    </row>
    <row r="881" ht="15.75" customHeight="1">
      <c r="B881" s="173"/>
      <c r="D881" s="111"/>
      <c r="E881" s="111"/>
      <c r="F881" s="108"/>
      <c r="G881" s="112"/>
      <c r="I881" s="110"/>
      <c r="K881" s="110"/>
    </row>
    <row r="882" ht="15.75" customHeight="1">
      <c r="B882" s="173"/>
      <c r="D882" s="111"/>
      <c r="E882" s="111"/>
      <c r="F882" s="108"/>
      <c r="G882" s="112"/>
      <c r="I882" s="110"/>
      <c r="K882" s="110"/>
    </row>
    <row r="883" ht="15.75" customHeight="1">
      <c r="B883" s="173"/>
      <c r="D883" s="111"/>
      <c r="E883" s="111"/>
      <c r="F883" s="108"/>
      <c r="G883" s="112"/>
      <c r="I883" s="110"/>
      <c r="K883" s="110"/>
    </row>
    <row r="884" ht="15.75" customHeight="1">
      <c r="B884" s="173"/>
      <c r="D884" s="111"/>
      <c r="E884" s="111"/>
      <c r="F884" s="108"/>
      <c r="G884" s="112"/>
      <c r="I884" s="110"/>
      <c r="K884" s="110"/>
    </row>
    <row r="885" ht="15.75" customHeight="1">
      <c r="B885" s="173"/>
      <c r="D885" s="111"/>
      <c r="E885" s="111"/>
      <c r="F885" s="108"/>
      <c r="G885" s="112"/>
      <c r="I885" s="110"/>
      <c r="K885" s="110"/>
    </row>
    <row r="886" ht="15.75" customHeight="1">
      <c r="B886" s="173"/>
      <c r="D886" s="111"/>
      <c r="E886" s="111"/>
      <c r="F886" s="108"/>
      <c r="G886" s="112"/>
      <c r="I886" s="110"/>
      <c r="K886" s="110"/>
    </row>
    <row r="887" ht="15.75" customHeight="1">
      <c r="B887" s="173"/>
      <c r="D887" s="111"/>
      <c r="E887" s="111"/>
      <c r="F887" s="108"/>
      <c r="G887" s="112"/>
      <c r="I887" s="110"/>
      <c r="K887" s="110"/>
    </row>
    <row r="888" ht="15.75" customHeight="1">
      <c r="B888" s="173"/>
      <c r="D888" s="111"/>
      <c r="E888" s="111"/>
      <c r="F888" s="108"/>
      <c r="G888" s="112"/>
      <c r="I888" s="110"/>
      <c r="K888" s="110"/>
    </row>
    <row r="889" ht="15.75" customHeight="1">
      <c r="B889" s="173"/>
      <c r="D889" s="111"/>
      <c r="E889" s="111"/>
      <c r="F889" s="108"/>
      <c r="G889" s="112"/>
      <c r="I889" s="110"/>
      <c r="K889" s="110"/>
    </row>
    <row r="890" ht="15.75" customHeight="1">
      <c r="B890" s="173"/>
      <c r="D890" s="111"/>
      <c r="E890" s="111"/>
      <c r="F890" s="108"/>
      <c r="G890" s="112"/>
      <c r="I890" s="110"/>
      <c r="K890" s="110"/>
    </row>
    <row r="891" ht="15.75" customHeight="1">
      <c r="B891" s="173"/>
      <c r="D891" s="111"/>
      <c r="E891" s="111"/>
      <c r="F891" s="108"/>
      <c r="G891" s="112"/>
      <c r="I891" s="110"/>
      <c r="K891" s="110"/>
    </row>
    <row r="892" ht="15.75" customHeight="1">
      <c r="B892" s="173"/>
      <c r="D892" s="111"/>
      <c r="E892" s="111"/>
      <c r="F892" s="108"/>
      <c r="G892" s="112"/>
      <c r="I892" s="110"/>
      <c r="K892" s="110"/>
    </row>
    <row r="893" ht="15.75" customHeight="1">
      <c r="B893" s="173"/>
      <c r="D893" s="111"/>
      <c r="E893" s="111"/>
      <c r="F893" s="108"/>
      <c r="G893" s="112"/>
      <c r="I893" s="110"/>
      <c r="K893" s="110"/>
    </row>
    <row r="894" ht="15.75" customHeight="1">
      <c r="B894" s="173"/>
      <c r="D894" s="111"/>
      <c r="E894" s="111"/>
      <c r="F894" s="108"/>
      <c r="G894" s="112"/>
      <c r="I894" s="110"/>
      <c r="K894" s="110"/>
    </row>
    <row r="895" ht="15.75" customHeight="1">
      <c r="B895" s="173"/>
      <c r="D895" s="111"/>
      <c r="E895" s="111"/>
      <c r="F895" s="108"/>
      <c r="G895" s="112"/>
      <c r="I895" s="110"/>
      <c r="K895" s="110"/>
    </row>
    <row r="896" ht="15.75" customHeight="1">
      <c r="B896" s="173"/>
      <c r="D896" s="111"/>
      <c r="E896" s="111"/>
      <c r="F896" s="108"/>
      <c r="G896" s="112"/>
      <c r="I896" s="110"/>
      <c r="K896" s="110"/>
    </row>
    <row r="897" ht="15.75" customHeight="1">
      <c r="B897" s="173"/>
      <c r="D897" s="111"/>
      <c r="E897" s="111"/>
      <c r="F897" s="108"/>
      <c r="G897" s="112"/>
      <c r="I897" s="110"/>
      <c r="K897" s="110"/>
    </row>
    <row r="898" ht="15.75" customHeight="1">
      <c r="B898" s="173"/>
      <c r="D898" s="111"/>
      <c r="E898" s="111"/>
      <c r="F898" s="108"/>
      <c r="G898" s="112"/>
      <c r="I898" s="110"/>
      <c r="K898" s="110"/>
    </row>
    <row r="899" ht="15.75" customHeight="1">
      <c r="B899" s="173"/>
      <c r="D899" s="111"/>
      <c r="E899" s="111"/>
      <c r="F899" s="108"/>
      <c r="G899" s="112"/>
      <c r="I899" s="110"/>
      <c r="K899" s="110"/>
    </row>
    <row r="900" ht="15.75" customHeight="1">
      <c r="B900" s="173"/>
      <c r="D900" s="111"/>
      <c r="E900" s="111"/>
      <c r="F900" s="108"/>
      <c r="G900" s="112"/>
      <c r="I900" s="110"/>
      <c r="K900" s="110"/>
    </row>
    <row r="901" ht="15.75" customHeight="1">
      <c r="B901" s="173"/>
      <c r="D901" s="111"/>
      <c r="E901" s="111"/>
      <c r="F901" s="108"/>
      <c r="G901" s="112"/>
      <c r="I901" s="110"/>
      <c r="K901" s="110"/>
    </row>
    <row r="902" ht="15.75" customHeight="1">
      <c r="B902" s="173"/>
      <c r="D902" s="111"/>
      <c r="E902" s="111"/>
      <c r="F902" s="108"/>
      <c r="G902" s="112"/>
      <c r="I902" s="110"/>
      <c r="K902" s="110"/>
    </row>
    <row r="903" ht="15.75" customHeight="1">
      <c r="B903" s="173"/>
      <c r="D903" s="111"/>
      <c r="E903" s="111"/>
      <c r="F903" s="108"/>
      <c r="G903" s="112"/>
      <c r="I903" s="110"/>
      <c r="K903" s="110"/>
    </row>
    <row r="904" ht="15.75" customHeight="1">
      <c r="B904" s="173"/>
      <c r="D904" s="111"/>
      <c r="E904" s="111"/>
      <c r="F904" s="108"/>
      <c r="G904" s="112"/>
      <c r="I904" s="110"/>
      <c r="K904" s="110"/>
    </row>
    <row r="905" ht="15.75" customHeight="1">
      <c r="B905" s="173"/>
      <c r="D905" s="111"/>
      <c r="E905" s="111"/>
      <c r="F905" s="108"/>
      <c r="G905" s="112"/>
      <c r="I905" s="110"/>
      <c r="K905" s="110"/>
    </row>
    <row r="906" ht="15.75" customHeight="1">
      <c r="B906" s="173"/>
      <c r="D906" s="111"/>
      <c r="E906" s="111"/>
      <c r="F906" s="108"/>
      <c r="G906" s="112"/>
      <c r="I906" s="110"/>
      <c r="K906" s="110"/>
    </row>
    <row r="907" ht="15.75" customHeight="1">
      <c r="B907" s="173"/>
      <c r="D907" s="111"/>
      <c r="E907" s="111"/>
      <c r="F907" s="108"/>
      <c r="G907" s="112"/>
      <c r="I907" s="110"/>
      <c r="K907" s="110"/>
    </row>
    <row r="908" ht="15.75" customHeight="1">
      <c r="B908" s="173"/>
      <c r="D908" s="111"/>
      <c r="E908" s="111"/>
      <c r="F908" s="108"/>
      <c r="G908" s="112"/>
      <c r="I908" s="110"/>
      <c r="K908" s="110"/>
    </row>
    <row r="909" ht="15.75" customHeight="1">
      <c r="B909" s="173"/>
      <c r="D909" s="111"/>
      <c r="E909" s="111"/>
      <c r="F909" s="108"/>
      <c r="G909" s="112"/>
      <c r="I909" s="110"/>
      <c r="K909" s="110"/>
    </row>
    <row r="910" ht="15.75" customHeight="1">
      <c r="B910" s="173"/>
      <c r="D910" s="111"/>
      <c r="E910" s="111"/>
      <c r="F910" s="108"/>
      <c r="G910" s="112"/>
      <c r="I910" s="110"/>
      <c r="K910" s="110"/>
    </row>
    <row r="911" ht="15.75" customHeight="1">
      <c r="B911" s="173"/>
      <c r="D911" s="111"/>
      <c r="E911" s="111"/>
      <c r="F911" s="108"/>
      <c r="G911" s="112"/>
      <c r="I911" s="110"/>
      <c r="K911" s="110"/>
    </row>
    <row r="912" ht="15.75" customHeight="1">
      <c r="B912" s="173"/>
      <c r="D912" s="111"/>
      <c r="E912" s="111"/>
      <c r="F912" s="108"/>
      <c r="G912" s="112"/>
      <c r="I912" s="110"/>
      <c r="K912" s="110"/>
    </row>
    <row r="913" ht="15.75" customHeight="1">
      <c r="B913" s="173"/>
      <c r="D913" s="111"/>
      <c r="E913" s="111"/>
      <c r="F913" s="108"/>
      <c r="G913" s="112"/>
      <c r="I913" s="110"/>
      <c r="K913" s="110"/>
    </row>
    <row r="914" ht="15.75" customHeight="1">
      <c r="B914" s="173"/>
      <c r="D914" s="111"/>
      <c r="E914" s="111"/>
      <c r="F914" s="108"/>
      <c r="G914" s="112"/>
      <c r="I914" s="110"/>
      <c r="K914" s="110"/>
    </row>
    <row r="915" ht="15.75" customHeight="1">
      <c r="B915" s="173"/>
      <c r="D915" s="111"/>
      <c r="E915" s="111"/>
      <c r="F915" s="108"/>
      <c r="G915" s="112"/>
      <c r="I915" s="110"/>
      <c r="K915" s="110"/>
    </row>
    <row r="916" ht="15.75" customHeight="1">
      <c r="B916" s="173"/>
      <c r="D916" s="111"/>
      <c r="E916" s="111"/>
      <c r="F916" s="108"/>
      <c r="G916" s="112"/>
      <c r="I916" s="110"/>
      <c r="K916" s="110"/>
    </row>
    <row r="917" ht="15.75" customHeight="1">
      <c r="B917" s="173"/>
      <c r="D917" s="111"/>
      <c r="E917" s="111"/>
      <c r="F917" s="108"/>
      <c r="G917" s="112"/>
      <c r="I917" s="110"/>
      <c r="K917" s="110"/>
    </row>
    <row r="918" ht="15.75" customHeight="1">
      <c r="B918" s="173"/>
      <c r="D918" s="111"/>
      <c r="E918" s="111"/>
      <c r="F918" s="108"/>
      <c r="G918" s="112"/>
      <c r="I918" s="110"/>
      <c r="K918" s="110"/>
    </row>
    <row r="919" ht="15.75" customHeight="1">
      <c r="B919" s="173"/>
      <c r="D919" s="111"/>
      <c r="E919" s="111"/>
      <c r="F919" s="108"/>
      <c r="G919" s="112"/>
      <c r="I919" s="110"/>
      <c r="K919" s="110"/>
    </row>
    <row r="920" ht="15.75" customHeight="1">
      <c r="B920" s="173"/>
      <c r="D920" s="111"/>
      <c r="E920" s="111"/>
      <c r="F920" s="108"/>
      <c r="G920" s="112"/>
      <c r="I920" s="110"/>
      <c r="K920" s="110"/>
    </row>
    <row r="921" ht="15.75" customHeight="1">
      <c r="B921" s="173"/>
      <c r="D921" s="111"/>
      <c r="E921" s="111"/>
      <c r="F921" s="108"/>
      <c r="G921" s="112"/>
      <c r="I921" s="110"/>
      <c r="K921" s="110"/>
    </row>
    <row r="922" ht="15.75" customHeight="1">
      <c r="B922" s="173"/>
      <c r="D922" s="111"/>
      <c r="E922" s="111"/>
      <c r="F922" s="108"/>
      <c r="G922" s="112"/>
      <c r="I922" s="110"/>
      <c r="K922" s="110"/>
    </row>
    <row r="923" ht="15.75" customHeight="1">
      <c r="B923" s="173"/>
      <c r="D923" s="111"/>
      <c r="E923" s="111"/>
      <c r="F923" s="108"/>
      <c r="G923" s="112"/>
      <c r="I923" s="110"/>
      <c r="K923" s="110"/>
    </row>
    <row r="924" ht="15.75" customHeight="1">
      <c r="B924" s="173"/>
      <c r="D924" s="111"/>
      <c r="E924" s="111"/>
      <c r="F924" s="108"/>
      <c r="G924" s="112"/>
      <c r="I924" s="110"/>
      <c r="K924" s="110"/>
    </row>
    <row r="925" ht="15.75" customHeight="1">
      <c r="B925" s="173"/>
      <c r="D925" s="111"/>
      <c r="E925" s="111"/>
      <c r="F925" s="108"/>
      <c r="G925" s="112"/>
      <c r="I925" s="110"/>
      <c r="K925" s="110"/>
    </row>
    <row r="926" ht="15.75" customHeight="1">
      <c r="B926" s="173"/>
      <c r="D926" s="111"/>
      <c r="E926" s="111"/>
      <c r="F926" s="108"/>
      <c r="G926" s="112"/>
      <c r="I926" s="110"/>
      <c r="K926" s="110"/>
    </row>
    <row r="927" ht="15.75" customHeight="1">
      <c r="B927" s="173"/>
      <c r="D927" s="111"/>
      <c r="E927" s="111"/>
      <c r="F927" s="108"/>
      <c r="G927" s="112"/>
      <c r="I927" s="110"/>
      <c r="K927" s="110"/>
    </row>
    <row r="928" ht="15.75" customHeight="1">
      <c r="B928" s="173"/>
      <c r="D928" s="111"/>
      <c r="E928" s="111"/>
      <c r="F928" s="108"/>
      <c r="G928" s="112"/>
      <c r="I928" s="110"/>
      <c r="K928" s="110"/>
    </row>
    <row r="929" ht="15.75" customHeight="1">
      <c r="B929" s="173"/>
      <c r="D929" s="111"/>
      <c r="E929" s="111"/>
      <c r="F929" s="108"/>
      <c r="G929" s="112"/>
      <c r="I929" s="110"/>
      <c r="K929" s="110"/>
    </row>
    <row r="930" ht="15.75" customHeight="1">
      <c r="B930" s="173"/>
      <c r="D930" s="111"/>
      <c r="E930" s="111"/>
      <c r="F930" s="108"/>
      <c r="G930" s="112"/>
      <c r="I930" s="110"/>
      <c r="K930" s="110"/>
    </row>
    <row r="931" ht="15.75" customHeight="1">
      <c r="B931" s="173"/>
      <c r="D931" s="111"/>
      <c r="E931" s="111"/>
      <c r="F931" s="108"/>
      <c r="G931" s="112"/>
      <c r="I931" s="110"/>
      <c r="K931" s="110"/>
    </row>
    <row r="932" ht="15.75" customHeight="1">
      <c r="B932" s="173"/>
      <c r="D932" s="111"/>
      <c r="E932" s="111"/>
      <c r="F932" s="108"/>
      <c r="G932" s="112"/>
      <c r="I932" s="110"/>
      <c r="K932" s="110"/>
    </row>
    <row r="933" ht="15.75" customHeight="1">
      <c r="B933" s="173"/>
      <c r="D933" s="111"/>
      <c r="E933" s="111"/>
      <c r="F933" s="108"/>
      <c r="G933" s="112"/>
      <c r="I933" s="110"/>
      <c r="K933" s="110"/>
    </row>
    <row r="934" ht="15.75" customHeight="1">
      <c r="B934" s="173"/>
      <c r="D934" s="111"/>
      <c r="E934" s="111"/>
      <c r="F934" s="108"/>
      <c r="G934" s="112"/>
      <c r="I934" s="110"/>
      <c r="K934" s="110"/>
    </row>
    <row r="935" ht="15.75" customHeight="1">
      <c r="B935" s="173"/>
      <c r="D935" s="111"/>
      <c r="E935" s="111"/>
      <c r="F935" s="108"/>
      <c r="G935" s="112"/>
      <c r="I935" s="110"/>
      <c r="K935" s="110"/>
    </row>
    <row r="936" ht="15.75" customHeight="1">
      <c r="B936" s="173"/>
      <c r="D936" s="111"/>
      <c r="E936" s="111"/>
      <c r="F936" s="108"/>
      <c r="G936" s="112"/>
      <c r="I936" s="110"/>
      <c r="K936" s="110"/>
    </row>
    <row r="937" ht="15.75" customHeight="1">
      <c r="B937" s="173"/>
      <c r="D937" s="111"/>
      <c r="E937" s="111"/>
      <c r="F937" s="108"/>
      <c r="G937" s="112"/>
      <c r="I937" s="110"/>
      <c r="K937" s="110"/>
    </row>
    <row r="938" ht="15.75" customHeight="1">
      <c r="B938" s="173"/>
      <c r="D938" s="111"/>
      <c r="E938" s="111"/>
      <c r="F938" s="108"/>
      <c r="G938" s="112"/>
      <c r="I938" s="110"/>
      <c r="K938" s="110"/>
    </row>
    <row r="939" ht="15.75" customHeight="1">
      <c r="B939" s="173"/>
      <c r="D939" s="111"/>
      <c r="E939" s="111"/>
      <c r="F939" s="108"/>
      <c r="G939" s="112"/>
      <c r="I939" s="110"/>
      <c r="K939" s="110"/>
    </row>
    <row r="940" ht="15.75" customHeight="1">
      <c r="B940" s="173"/>
      <c r="D940" s="111"/>
      <c r="E940" s="111"/>
      <c r="F940" s="108"/>
      <c r="G940" s="112"/>
      <c r="I940" s="110"/>
      <c r="K940" s="110"/>
    </row>
    <row r="941" ht="15.75" customHeight="1">
      <c r="B941" s="173"/>
      <c r="D941" s="111"/>
      <c r="E941" s="111"/>
      <c r="F941" s="108"/>
      <c r="G941" s="112"/>
      <c r="I941" s="110"/>
      <c r="K941" s="110"/>
    </row>
    <row r="942" ht="15.75" customHeight="1">
      <c r="B942" s="173"/>
      <c r="D942" s="111"/>
      <c r="E942" s="111"/>
      <c r="F942" s="108"/>
      <c r="G942" s="112"/>
      <c r="I942" s="110"/>
      <c r="K942" s="110"/>
    </row>
    <row r="943" ht="15.75" customHeight="1">
      <c r="B943" s="173"/>
      <c r="D943" s="111"/>
      <c r="E943" s="111"/>
      <c r="F943" s="108"/>
      <c r="G943" s="112"/>
      <c r="I943" s="110"/>
      <c r="K943" s="110"/>
    </row>
    <row r="944" ht="15.75" customHeight="1">
      <c r="B944" s="173"/>
      <c r="D944" s="111"/>
      <c r="E944" s="111"/>
      <c r="F944" s="108"/>
      <c r="G944" s="112"/>
      <c r="I944" s="110"/>
      <c r="K944" s="110"/>
    </row>
    <row r="945" ht="15.75" customHeight="1">
      <c r="B945" s="173"/>
      <c r="D945" s="111"/>
      <c r="E945" s="111"/>
      <c r="F945" s="108"/>
      <c r="G945" s="112"/>
      <c r="I945" s="110"/>
      <c r="K945" s="110"/>
    </row>
    <row r="946" ht="15.75" customHeight="1">
      <c r="B946" s="173"/>
      <c r="D946" s="111"/>
      <c r="E946" s="111"/>
      <c r="F946" s="108"/>
      <c r="G946" s="112"/>
      <c r="I946" s="110"/>
      <c r="K946" s="110"/>
    </row>
    <row r="947" ht="15.75" customHeight="1">
      <c r="B947" s="173"/>
      <c r="D947" s="111"/>
      <c r="E947" s="111"/>
      <c r="F947" s="108"/>
      <c r="G947" s="112"/>
      <c r="I947" s="110"/>
      <c r="K947" s="110"/>
    </row>
    <row r="948" ht="15.75" customHeight="1">
      <c r="B948" s="173"/>
      <c r="D948" s="111"/>
      <c r="E948" s="111"/>
      <c r="F948" s="108"/>
      <c r="G948" s="112"/>
      <c r="I948" s="110"/>
      <c r="K948" s="110"/>
    </row>
    <row r="949" ht="15.75" customHeight="1">
      <c r="B949" s="173"/>
      <c r="D949" s="111"/>
      <c r="E949" s="111"/>
      <c r="F949" s="108"/>
      <c r="G949" s="112"/>
      <c r="I949" s="110"/>
      <c r="K949" s="110"/>
    </row>
    <row r="950" ht="15.75" customHeight="1">
      <c r="B950" s="173"/>
      <c r="D950" s="111"/>
      <c r="E950" s="111"/>
      <c r="F950" s="108"/>
      <c r="G950" s="112"/>
      <c r="I950" s="110"/>
      <c r="K950" s="110"/>
    </row>
    <row r="951" ht="15.75" customHeight="1">
      <c r="B951" s="173"/>
      <c r="D951" s="111"/>
      <c r="E951" s="111"/>
      <c r="F951" s="108"/>
      <c r="G951" s="112"/>
      <c r="I951" s="110"/>
      <c r="K951" s="110"/>
    </row>
    <row r="952" ht="15.75" customHeight="1">
      <c r="B952" s="173"/>
      <c r="D952" s="111"/>
      <c r="E952" s="111"/>
      <c r="F952" s="108"/>
      <c r="G952" s="112"/>
      <c r="I952" s="110"/>
      <c r="K952" s="110"/>
    </row>
    <row r="953" ht="15.75" customHeight="1">
      <c r="B953" s="173"/>
      <c r="D953" s="111"/>
      <c r="E953" s="111"/>
      <c r="F953" s="108"/>
      <c r="G953" s="112"/>
      <c r="I953" s="110"/>
      <c r="K953" s="110"/>
    </row>
    <row r="954" ht="15.75" customHeight="1">
      <c r="B954" s="173"/>
      <c r="D954" s="111"/>
      <c r="E954" s="111"/>
      <c r="F954" s="108"/>
      <c r="G954" s="112"/>
      <c r="I954" s="110"/>
      <c r="K954" s="110"/>
    </row>
    <row r="955" ht="15.75" customHeight="1">
      <c r="B955" s="173"/>
      <c r="D955" s="111"/>
      <c r="E955" s="111"/>
      <c r="F955" s="108"/>
      <c r="G955" s="112"/>
      <c r="I955" s="110"/>
      <c r="K955" s="110"/>
    </row>
    <row r="956" ht="15.75" customHeight="1">
      <c r="B956" s="173"/>
      <c r="D956" s="111"/>
      <c r="E956" s="111"/>
      <c r="F956" s="108"/>
      <c r="G956" s="112"/>
      <c r="I956" s="110"/>
      <c r="K956" s="110"/>
    </row>
    <row r="957" ht="15.75" customHeight="1">
      <c r="B957" s="173"/>
      <c r="D957" s="111"/>
      <c r="E957" s="111"/>
      <c r="F957" s="108"/>
      <c r="G957" s="112"/>
      <c r="I957" s="110"/>
      <c r="K957" s="110"/>
    </row>
    <row r="958" ht="15.75" customHeight="1">
      <c r="B958" s="173"/>
      <c r="D958" s="111"/>
      <c r="E958" s="111"/>
      <c r="F958" s="108"/>
      <c r="G958" s="112"/>
      <c r="I958" s="110"/>
      <c r="K958" s="110"/>
    </row>
    <row r="959" ht="15.75" customHeight="1">
      <c r="B959" s="173"/>
      <c r="D959" s="111"/>
      <c r="E959" s="111"/>
      <c r="F959" s="108"/>
      <c r="G959" s="112"/>
      <c r="I959" s="110"/>
      <c r="K959" s="110"/>
    </row>
    <row r="960" ht="15.75" customHeight="1">
      <c r="B960" s="173"/>
      <c r="D960" s="111"/>
      <c r="E960" s="111"/>
      <c r="F960" s="108"/>
      <c r="G960" s="112"/>
      <c r="I960" s="110"/>
      <c r="K960" s="110"/>
    </row>
    <row r="961" ht="15.75" customHeight="1">
      <c r="B961" s="173"/>
      <c r="D961" s="111"/>
      <c r="E961" s="111"/>
      <c r="F961" s="108"/>
      <c r="G961" s="112"/>
      <c r="I961" s="110"/>
      <c r="K961" s="110"/>
    </row>
    <row r="962" ht="15.75" customHeight="1">
      <c r="B962" s="173"/>
      <c r="D962" s="111"/>
      <c r="E962" s="111"/>
      <c r="F962" s="108"/>
      <c r="G962" s="112"/>
      <c r="I962" s="110"/>
      <c r="K962" s="110"/>
    </row>
    <row r="963" ht="15.75" customHeight="1">
      <c r="B963" s="173"/>
      <c r="D963" s="111"/>
      <c r="E963" s="111"/>
      <c r="F963" s="108"/>
      <c r="G963" s="112"/>
      <c r="I963" s="110"/>
      <c r="K963" s="110"/>
    </row>
    <row r="964" ht="15.75" customHeight="1">
      <c r="B964" s="173"/>
      <c r="D964" s="111"/>
      <c r="E964" s="111"/>
      <c r="F964" s="108"/>
      <c r="G964" s="112"/>
      <c r="I964" s="110"/>
      <c r="K964" s="110"/>
    </row>
    <row r="965" ht="15.75" customHeight="1">
      <c r="B965" s="173"/>
      <c r="D965" s="111"/>
      <c r="E965" s="111"/>
      <c r="F965" s="108"/>
      <c r="G965" s="112"/>
      <c r="I965" s="110"/>
      <c r="K965" s="110"/>
    </row>
    <row r="966" ht="15.75" customHeight="1">
      <c r="B966" s="173"/>
      <c r="D966" s="111"/>
      <c r="E966" s="111"/>
      <c r="F966" s="108"/>
      <c r="G966" s="112"/>
      <c r="I966" s="110"/>
      <c r="K966" s="110"/>
    </row>
    <row r="967" ht="15.75" customHeight="1">
      <c r="B967" s="173"/>
      <c r="D967" s="111"/>
      <c r="E967" s="111"/>
      <c r="F967" s="108"/>
      <c r="G967" s="112"/>
      <c r="I967" s="110"/>
      <c r="K967" s="110"/>
    </row>
    <row r="968" ht="15.75" customHeight="1">
      <c r="B968" s="173"/>
      <c r="D968" s="111"/>
      <c r="E968" s="111"/>
      <c r="F968" s="108"/>
      <c r="G968" s="112"/>
      <c r="I968" s="110"/>
      <c r="K968" s="110"/>
    </row>
    <row r="969" ht="15.75" customHeight="1">
      <c r="B969" s="173"/>
      <c r="D969" s="111"/>
      <c r="E969" s="111"/>
      <c r="F969" s="108"/>
      <c r="G969" s="112"/>
      <c r="I969" s="110"/>
      <c r="K969" s="110"/>
    </row>
    <row r="970" ht="15.75" customHeight="1">
      <c r="B970" s="173"/>
      <c r="D970" s="111"/>
      <c r="E970" s="111"/>
      <c r="F970" s="108"/>
      <c r="G970" s="112"/>
      <c r="I970" s="110"/>
      <c r="K970" s="110"/>
    </row>
    <row r="971" ht="15.75" customHeight="1">
      <c r="B971" s="173"/>
      <c r="D971" s="111"/>
      <c r="E971" s="111"/>
      <c r="F971" s="108"/>
      <c r="G971" s="112"/>
      <c r="I971" s="110"/>
      <c r="K971" s="110"/>
    </row>
    <row r="972" ht="15.75" customHeight="1">
      <c r="B972" s="173"/>
      <c r="D972" s="111"/>
      <c r="E972" s="111"/>
      <c r="F972" s="108"/>
      <c r="G972" s="112"/>
      <c r="I972" s="110"/>
      <c r="K972" s="110"/>
    </row>
    <row r="973" ht="15.75" customHeight="1">
      <c r="B973" s="173"/>
      <c r="D973" s="111"/>
      <c r="E973" s="111"/>
      <c r="F973" s="108"/>
      <c r="G973" s="112"/>
      <c r="I973" s="110"/>
      <c r="K973" s="110"/>
    </row>
    <row r="974" ht="15.75" customHeight="1">
      <c r="B974" s="173"/>
      <c r="D974" s="111"/>
      <c r="E974" s="111"/>
      <c r="F974" s="108"/>
      <c r="G974" s="112"/>
      <c r="I974" s="110"/>
      <c r="K974" s="110"/>
    </row>
    <row r="975" ht="15.75" customHeight="1">
      <c r="B975" s="173"/>
      <c r="D975" s="111"/>
      <c r="E975" s="111"/>
      <c r="F975" s="108"/>
      <c r="G975" s="112"/>
      <c r="I975" s="110"/>
      <c r="K975" s="110"/>
    </row>
    <row r="976" ht="15.75" customHeight="1">
      <c r="B976" s="173"/>
      <c r="D976" s="111"/>
      <c r="E976" s="111"/>
      <c r="F976" s="108"/>
      <c r="G976" s="112"/>
      <c r="I976" s="110"/>
      <c r="K976" s="110"/>
    </row>
    <row r="977" ht="15.75" customHeight="1">
      <c r="B977" s="173"/>
      <c r="D977" s="111"/>
      <c r="E977" s="111"/>
      <c r="F977" s="108"/>
      <c r="G977" s="112"/>
      <c r="I977" s="110"/>
      <c r="K977" s="110"/>
    </row>
    <row r="978" ht="15.75" customHeight="1">
      <c r="B978" s="173"/>
      <c r="D978" s="111"/>
      <c r="E978" s="111"/>
      <c r="F978" s="108"/>
      <c r="G978" s="112"/>
      <c r="I978" s="110"/>
      <c r="K978" s="110"/>
    </row>
    <row r="979" ht="15.75" customHeight="1">
      <c r="B979" s="173"/>
      <c r="D979" s="111"/>
      <c r="E979" s="111"/>
      <c r="F979" s="108"/>
      <c r="G979" s="112"/>
      <c r="I979" s="110"/>
      <c r="K979" s="110"/>
    </row>
    <row r="980" ht="15.75" customHeight="1">
      <c r="B980" s="173"/>
      <c r="D980" s="111"/>
      <c r="E980" s="111"/>
      <c r="F980" s="108"/>
      <c r="G980" s="112"/>
      <c r="I980" s="110"/>
      <c r="K980" s="110"/>
    </row>
    <row r="981" ht="15.75" customHeight="1">
      <c r="B981" s="173"/>
      <c r="D981" s="111"/>
      <c r="E981" s="111"/>
      <c r="F981" s="108"/>
      <c r="G981" s="112"/>
      <c r="I981" s="110"/>
      <c r="K981" s="110"/>
    </row>
    <row r="982" ht="15.75" customHeight="1">
      <c r="B982" s="173"/>
      <c r="D982" s="111"/>
      <c r="E982" s="111"/>
      <c r="F982" s="108"/>
      <c r="G982" s="112"/>
      <c r="I982" s="110"/>
      <c r="K982" s="110"/>
    </row>
    <row r="983" ht="15.75" customHeight="1">
      <c r="B983" s="173"/>
      <c r="D983" s="111"/>
      <c r="E983" s="111"/>
      <c r="F983" s="108"/>
      <c r="G983" s="112"/>
      <c r="I983" s="110"/>
      <c r="K983" s="110"/>
    </row>
    <row r="984" ht="15.75" customHeight="1">
      <c r="B984" s="173"/>
      <c r="D984" s="111"/>
      <c r="E984" s="111"/>
      <c r="F984" s="108"/>
      <c r="G984" s="112"/>
      <c r="I984" s="110"/>
      <c r="K984" s="110"/>
    </row>
    <row r="985" ht="15.75" customHeight="1">
      <c r="B985" s="173"/>
      <c r="D985" s="111"/>
      <c r="E985" s="111"/>
      <c r="F985" s="108"/>
      <c r="G985" s="112"/>
      <c r="I985" s="110"/>
      <c r="K985" s="110"/>
    </row>
    <row r="986" ht="15.75" customHeight="1">
      <c r="B986" s="173"/>
      <c r="D986" s="111"/>
      <c r="E986" s="111"/>
      <c r="F986" s="108"/>
      <c r="G986" s="112"/>
      <c r="I986" s="110"/>
      <c r="K986" s="110"/>
    </row>
    <row r="987" ht="15.75" customHeight="1">
      <c r="B987" s="173"/>
      <c r="D987" s="111"/>
      <c r="E987" s="111"/>
      <c r="F987" s="108"/>
      <c r="G987" s="112"/>
      <c r="I987" s="110"/>
      <c r="K987" s="110"/>
    </row>
    <row r="988" ht="15.75" customHeight="1">
      <c r="B988" s="173"/>
      <c r="D988" s="111"/>
      <c r="E988" s="111"/>
      <c r="F988" s="108"/>
      <c r="G988" s="112"/>
      <c r="I988" s="110"/>
      <c r="K988" s="110"/>
    </row>
    <row r="989" ht="15.75" customHeight="1">
      <c r="B989" s="173"/>
      <c r="D989" s="111"/>
      <c r="E989" s="111"/>
      <c r="F989" s="108"/>
      <c r="G989" s="112"/>
      <c r="I989" s="110"/>
      <c r="K989" s="110"/>
    </row>
    <row r="990" ht="15.75" customHeight="1">
      <c r="B990" s="173"/>
      <c r="D990" s="111"/>
      <c r="E990" s="111"/>
      <c r="F990" s="108"/>
      <c r="G990" s="112"/>
      <c r="I990" s="110"/>
      <c r="K990" s="110"/>
    </row>
    <row r="991" ht="15.75" customHeight="1">
      <c r="B991" s="173"/>
      <c r="D991" s="111"/>
      <c r="E991" s="111"/>
      <c r="F991" s="108"/>
      <c r="G991" s="112"/>
      <c r="I991" s="110"/>
      <c r="K991" s="110"/>
    </row>
    <row r="992" ht="15.75" customHeight="1">
      <c r="B992" s="173"/>
      <c r="D992" s="111"/>
      <c r="E992" s="111"/>
      <c r="F992" s="108"/>
      <c r="G992" s="112"/>
      <c r="I992" s="110"/>
      <c r="K992" s="110"/>
    </row>
    <row r="993" ht="15.75" customHeight="1">
      <c r="B993" s="173"/>
      <c r="D993" s="111"/>
      <c r="E993" s="111"/>
      <c r="F993" s="108"/>
      <c r="G993" s="112"/>
      <c r="I993" s="110"/>
      <c r="K993" s="110"/>
    </row>
    <row r="994" ht="15.75" customHeight="1">
      <c r="B994" s="173"/>
      <c r="D994" s="111"/>
      <c r="E994" s="111"/>
      <c r="F994" s="108"/>
      <c r="G994" s="112"/>
      <c r="I994" s="110"/>
      <c r="K994" s="110"/>
    </row>
    <row r="995" ht="15.75" customHeight="1">
      <c r="B995" s="173"/>
      <c r="D995" s="111"/>
      <c r="E995" s="111"/>
      <c r="F995" s="108"/>
      <c r="G995" s="112"/>
      <c r="I995" s="110"/>
      <c r="K995" s="110"/>
    </row>
    <row r="996" ht="15.75" customHeight="1">
      <c r="B996" s="173"/>
      <c r="D996" s="111"/>
      <c r="E996" s="111"/>
      <c r="F996" s="108"/>
      <c r="G996" s="112"/>
      <c r="I996" s="110"/>
      <c r="K996" s="110"/>
    </row>
    <row r="997" ht="15.75" customHeight="1">
      <c r="B997" s="173"/>
      <c r="D997" s="111"/>
      <c r="E997" s="111"/>
      <c r="F997" s="108"/>
      <c r="G997" s="112"/>
      <c r="I997" s="110"/>
      <c r="K997" s="110"/>
    </row>
    <row r="998" ht="15.75" customHeight="1">
      <c r="B998" s="173"/>
      <c r="D998" s="111"/>
      <c r="E998" s="111"/>
      <c r="F998" s="108"/>
      <c r="G998" s="112"/>
      <c r="I998" s="110"/>
      <c r="K998" s="110"/>
    </row>
    <row r="999" ht="15.75" customHeight="1">
      <c r="B999" s="173"/>
      <c r="D999" s="111"/>
      <c r="E999" s="111"/>
      <c r="F999" s="108"/>
      <c r="G999" s="112"/>
      <c r="I999" s="110"/>
      <c r="K999" s="110"/>
    </row>
    <row r="1000" ht="15.75" customHeight="1">
      <c r="B1000" s="173"/>
      <c r="D1000" s="111"/>
      <c r="E1000" s="111"/>
      <c r="F1000" s="108"/>
      <c r="G1000" s="112"/>
      <c r="I1000" s="110"/>
      <c r="K1000" s="110"/>
    </row>
  </sheetData>
  <conditionalFormatting sqref="B2:B1000">
    <cfRule type="expression" dxfId="4" priority="1">
      <formula>AND(B2 &lt; EDATE(TODAY(), -18), B2 &gt; EDATE(TODAY(), -24))</formula>
    </cfRule>
  </conditionalFormatting>
  <conditionalFormatting sqref="B2:B1000">
    <cfRule type="expression" dxfId="5" priority="2" stopIfTrue="1">
      <formula>B2&lt; EDATE(TODAY(), -24)</formula>
    </cfRule>
  </conditionalFormatting>
  <conditionalFormatting sqref="G2:G1000">
    <cfRule type="cellIs" dxfId="6" priority="3" stopIfTrue="1" operator="lessThan">
      <formula>0.5</formula>
    </cfRule>
  </conditionalFormatting>
  <conditionalFormatting sqref="G2:G1000">
    <cfRule type="cellIs" dxfId="5" priority="4" stopIfTrue="1" operator="greaterThan">
      <formula>0.75</formula>
    </cfRule>
  </conditionalFormatting>
  <conditionalFormatting sqref="G2:G1000">
    <cfRule type="cellIs" dxfId="4" priority="5" operator="greaterThan">
      <formula>0.5</formula>
    </cfRule>
  </conditionalFormatting>
  <conditionalFormatting sqref="I2:I44">
    <cfRule type="cellIs" dxfId="6" priority="6" stopIfTrue="1" operator="lessThan">
      <formula>0.5</formula>
    </cfRule>
  </conditionalFormatting>
  <conditionalFormatting sqref="I2:I44">
    <cfRule type="cellIs" dxfId="4" priority="7" operator="greaterThan">
      <formula>0.5</formula>
    </cfRule>
  </conditionalFormatting>
  <conditionalFormatting sqref="K1:K1000">
    <cfRule type="cellIs" dxfId="6" priority="8" stopIfTrue="1" operator="greaterThan">
      <formula>15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24.0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113" t="s">
        <v>0</v>
      </c>
      <c r="B1" s="113" t="s">
        <v>1</v>
      </c>
      <c r="C1" s="113" t="s">
        <v>2</v>
      </c>
      <c r="D1" s="113" t="s">
        <v>143</v>
      </c>
      <c r="E1" s="113" t="s">
        <v>4</v>
      </c>
      <c r="F1" s="115" t="s">
        <v>5</v>
      </c>
      <c r="G1" s="116" t="s">
        <v>117</v>
      </c>
      <c r="H1" s="113" t="s">
        <v>118</v>
      </c>
      <c r="I1" s="113" t="s">
        <v>119</v>
      </c>
      <c r="J1" s="113" t="s">
        <v>120</v>
      </c>
      <c r="K1" s="113" t="s">
        <v>121</v>
      </c>
      <c r="L1" s="113" t="s">
        <v>122</v>
      </c>
      <c r="M1" s="117" t="s">
        <v>123</v>
      </c>
      <c r="N1" s="113" t="s">
        <v>13</v>
      </c>
      <c r="O1" s="117" t="s">
        <v>14</v>
      </c>
    </row>
    <row r="2" ht="19.5" customHeight="1">
      <c r="A2" s="127" t="s">
        <v>63</v>
      </c>
      <c r="B2" s="128">
        <v>42675.0</v>
      </c>
      <c r="C2" s="129" t="s">
        <v>114</v>
      </c>
      <c r="D2" s="174">
        <v>1314.0</v>
      </c>
      <c r="E2" s="174">
        <v>603.0</v>
      </c>
      <c r="F2" s="131">
        <v>174.5</v>
      </c>
      <c r="G2" s="132">
        <f>'Feb 26'!$D2/E2</f>
        <v>2.179104478</v>
      </c>
      <c r="H2" s="133"/>
      <c r="I2" s="134">
        <f>'Feb 26'!$F2/'Feb 26'!$E2</f>
        <v>0.2893864013</v>
      </c>
      <c r="J2" s="133"/>
      <c r="K2" s="127">
        <f>SUM('Feb 26'!$L2:$O2)</f>
        <v>0</v>
      </c>
      <c r="L2" s="133"/>
      <c r="M2" s="133"/>
      <c r="N2" s="175"/>
      <c r="O2" s="133"/>
    </row>
    <row r="3" ht="18.0" customHeight="1">
      <c r="A3" s="127" t="s">
        <v>134</v>
      </c>
      <c r="B3" s="128">
        <v>43132.0</v>
      </c>
      <c r="C3" s="129" t="s">
        <v>112</v>
      </c>
      <c r="D3" s="174">
        <v>1200.0</v>
      </c>
      <c r="E3" s="174">
        <v>1550.0</v>
      </c>
      <c r="F3" s="131">
        <v>603.0</v>
      </c>
      <c r="G3" s="132">
        <f>'Feb 26'!$D3/E3</f>
        <v>0.7741935484</v>
      </c>
      <c r="H3" s="133" t="s">
        <v>136</v>
      </c>
      <c r="I3" s="134">
        <f>'Feb 26'!$F3/'Feb 26'!$E3</f>
        <v>0.3890322581</v>
      </c>
      <c r="J3" s="135"/>
      <c r="K3" s="127">
        <f>SUM('Feb 26'!$L3:$O3)</f>
        <v>0</v>
      </c>
      <c r="L3" s="133"/>
      <c r="M3" s="133"/>
      <c r="N3" s="133"/>
      <c r="O3" s="133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8.0" customHeight="1">
      <c r="A4" s="127" t="s">
        <v>134</v>
      </c>
      <c r="B4" s="128">
        <v>43405.0</v>
      </c>
      <c r="C4" s="129" t="s">
        <v>110</v>
      </c>
      <c r="D4" s="174">
        <v>1177.0</v>
      </c>
      <c r="E4" s="174">
        <v>1654.0</v>
      </c>
      <c r="F4" s="131">
        <v>400.0</v>
      </c>
      <c r="G4" s="132">
        <f>'Feb 26'!$D4/E4</f>
        <v>0.7116082225</v>
      </c>
      <c r="H4" s="133"/>
      <c r="I4" s="134">
        <f>'Feb 26'!$F4/'Feb 26'!$E4</f>
        <v>0.2418379686</v>
      </c>
      <c r="J4" s="135"/>
      <c r="K4" s="127">
        <f>SUM('Feb 26'!$L4:$O4)</f>
        <v>0</v>
      </c>
      <c r="L4" s="133"/>
      <c r="M4" s="133"/>
      <c r="N4" s="133"/>
      <c r="O4" s="133"/>
    </row>
    <row r="5" ht="18.0" customHeight="1">
      <c r="A5" s="127" t="s">
        <v>134</v>
      </c>
      <c r="B5" s="128">
        <v>43497.0</v>
      </c>
      <c r="C5" s="136" t="s">
        <v>108</v>
      </c>
      <c r="D5" s="176">
        <v>7500.0</v>
      </c>
      <c r="E5" s="176">
        <v>7100.0</v>
      </c>
      <c r="F5" s="134">
        <v>3683.0</v>
      </c>
      <c r="G5" s="132">
        <f>'Feb 26'!$D5/E5</f>
        <v>1.056338028</v>
      </c>
      <c r="H5" s="127" t="s">
        <v>138</v>
      </c>
      <c r="I5" s="134">
        <f>'Feb 26'!$F5/'Feb 26'!$E5</f>
        <v>0.5187323944</v>
      </c>
      <c r="J5" s="133"/>
      <c r="K5" s="127">
        <f>SUM('Feb 26'!$L5:$O5)</f>
        <v>0</v>
      </c>
      <c r="L5" s="133"/>
      <c r="M5" s="133"/>
      <c r="N5" s="133"/>
      <c r="O5" s="133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0" customHeight="1">
      <c r="A6" s="127" t="s">
        <v>134</v>
      </c>
      <c r="B6" s="128">
        <v>43586.0</v>
      </c>
      <c r="C6" s="129" t="s">
        <v>106</v>
      </c>
      <c r="D6" s="174">
        <v>1957.0</v>
      </c>
      <c r="E6" s="174">
        <v>2518.0</v>
      </c>
      <c r="F6" s="131">
        <v>767.0</v>
      </c>
      <c r="G6" s="132">
        <f>'Feb 26'!$D6/E6</f>
        <v>0.7772041303</v>
      </c>
      <c r="H6" s="133"/>
      <c r="I6" s="134">
        <f>'Feb 26'!$F6/'Feb 26'!$E6</f>
        <v>0.3046068308</v>
      </c>
      <c r="J6" s="133"/>
      <c r="K6" s="127">
        <f>SUM('Feb 26'!$L6:$O6)</f>
        <v>0</v>
      </c>
      <c r="L6" s="133"/>
      <c r="M6" s="133"/>
      <c r="N6" s="133"/>
      <c r="O6" s="133"/>
    </row>
    <row r="7" ht="18.0" customHeight="1">
      <c r="A7" s="127" t="s">
        <v>134</v>
      </c>
      <c r="B7" s="128">
        <v>43678.0</v>
      </c>
      <c r="C7" s="129" t="s">
        <v>104</v>
      </c>
      <c r="D7" s="174">
        <v>2329.0</v>
      </c>
      <c r="E7" s="174">
        <v>2847.0</v>
      </c>
      <c r="F7" s="131">
        <v>742.0</v>
      </c>
      <c r="G7" s="132">
        <f>'Feb 26'!$D7/E7</f>
        <v>0.818054092</v>
      </c>
      <c r="H7" s="133"/>
      <c r="I7" s="134">
        <f>'Feb 26'!$F7/'Feb 26'!$E7</f>
        <v>0.2606252195</v>
      </c>
      <c r="J7" s="133"/>
      <c r="K7" s="127">
        <f>SUM('Feb 26'!$L7:$O7)</f>
        <v>0</v>
      </c>
      <c r="L7" s="133"/>
      <c r="M7" s="133"/>
      <c r="N7" s="133"/>
      <c r="O7" s="133"/>
    </row>
    <row r="8" ht="18.0" customHeight="1">
      <c r="A8" s="127" t="s">
        <v>134</v>
      </c>
      <c r="B8" s="128">
        <v>43678.0</v>
      </c>
      <c r="C8" s="129" t="s">
        <v>102</v>
      </c>
      <c r="D8" s="174">
        <v>2000.0</v>
      </c>
      <c r="E8" s="174">
        <v>1811.0</v>
      </c>
      <c r="F8" s="131">
        <v>925.0</v>
      </c>
      <c r="G8" s="132">
        <f>'Feb 26'!$D8/E8</f>
        <v>1.104362231</v>
      </c>
      <c r="H8" s="133"/>
      <c r="I8" s="134">
        <f>'Feb 26'!$F8/'Feb 26'!$E8</f>
        <v>0.5107675318</v>
      </c>
      <c r="J8" s="133"/>
      <c r="K8" s="127">
        <f>SUM('Feb 26'!$L8:$O8)</f>
        <v>0</v>
      </c>
      <c r="L8" s="133"/>
      <c r="M8" s="133"/>
      <c r="N8" s="133"/>
      <c r="O8" s="133"/>
    </row>
    <row r="9" ht="18.0" customHeight="1">
      <c r="A9" s="127" t="s">
        <v>134</v>
      </c>
      <c r="B9" s="128">
        <v>43770.0</v>
      </c>
      <c r="C9" s="129" t="s">
        <v>100</v>
      </c>
      <c r="D9" s="174">
        <v>3150.0</v>
      </c>
      <c r="E9" s="174">
        <v>4200.0</v>
      </c>
      <c r="F9" s="131">
        <v>916.0</v>
      </c>
      <c r="G9" s="132">
        <f>'Feb 26'!$D9/E9</f>
        <v>0.75</v>
      </c>
      <c r="H9" s="133" t="s">
        <v>136</v>
      </c>
      <c r="I9" s="134">
        <f>'Feb 26'!$F9/'Feb 26'!$E9</f>
        <v>0.2180952381</v>
      </c>
      <c r="J9" s="133"/>
      <c r="K9" s="127">
        <f>SUM('Feb 26'!$L9:$O9)</f>
        <v>0</v>
      </c>
      <c r="L9" s="133"/>
      <c r="M9" s="133"/>
      <c r="N9" s="133"/>
      <c r="O9" s="133"/>
    </row>
    <row r="10" ht="18.0" customHeight="1">
      <c r="A10" s="127" t="s">
        <v>63</v>
      </c>
      <c r="B10" s="128">
        <v>43952.0</v>
      </c>
      <c r="C10" s="129" t="s">
        <v>95</v>
      </c>
      <c r="D10" s="174">
        <v>590.0</v>
      </c>
      <c r="E10" s="174">
        <v>478.0</v>
      </c>
      <c r="F10" s="131">
        <v>110.0</v>
      </c>
      <c r="G10" s="132">
        <f>'Feb 26'!$D10/E10</f>
        <v>1.234309623</v>
      </c>
      <c r="H10" s="133"/>
      <c r="I10" s="134">
        <f>'Feb 26'!$F10/'Feb 26'!$E10</f>
        <v>0.230125523</v>
      </c>
      <c r="J10" s="133"/>
      <c r="K10" s="127">
        <f>SUM('Feb 26'!$L10:$O10)</f>
        <v>0</v>
      </c>
      <c r="L10" s="133"/>
      <c r="M10" s="133"/>
      <c r="N10" s="133"/>
      <c r="O10" s="133"/>
    </row>
    <row r="11" ht="18.0" customHeight="1">
      <c r="A11" s="127" t="s">
        <v>63</v>
      </c>
      <c r="B11" s="128">
        <v>44044.0</v>
      </c>
      <c r="C11" s="129" t="s">
        <v>93</v>
      </c>
      <c r="D11" s="174">
        <v>240.0</v>
      </c>
      <c r="E11" s="174">
        <v>193.0</v>
      </c>
      <c r="F11" s="131">
        <v>50.0</v>
      </c>
      <c r="G11" s="132">
        <f>'Feb 26'!$D11/E11</f>
        <v>1.243523316</v>
      </c>
      <c r="H11" s="133"/>
      <c r="I11" s="134">
        <f>'Feb 26'!$F11/'Feb 26'!$E11</f>
        <v>0.2590673575</v>
      </c>
      <c r="J11" s="135"/>
      <c r="K11" s="127">
        <f>SUM('Feb 26'!$L11:$O11)</f>
        <v>0</v>
      </c>
      <c r="L11" s="133"/>
      <c r="M11" s="133"/>
      <c r="N11" s="133"/>
      <c r="O11" s="133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8.0" customHeight="1">
      <c r="A12" s="127" t="s">
        <v>63</v>
      </c>
      <c r="B12" s="128">
        <v>44075.0</v>
      </c>
      <c r="C12" s="129" t="s">
        <v>91</v>
      </c>
      <c r="D12" s="174">
        <v>800.0</v>
      </c>
      <c r="E12" s="174">
        <v>385.0</v>
      </c>
      <c r="F12" s="131">
        <v>454.0</v>
      </c>
      <c r="G12" s="132">
        <f>'Feb 26'!$D12/E12</f>
        <v>2.077922078</v>
      </c>
      <c r="H12" s="133"/>
      <c r="I12" s="134">
        <f>'Feb 26'!$F12/'Feb 26'!$E12</f>
        <v>1.179220779</v>
      </c>
      <c r="J12" s="133"/>
      <c r="K12" s="127">
        <f>SUM('Feb 26'!$L12:$O12)</f>
        <v>0</v>
      </c>
      <c r="L12" s="133"/>
      <c r="M12" s="133"/>
      <c r="N12" s="133"/>
      <c r="O12" s="133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8.0" customHeight="1">
      <c r="A13" s="164" t="s">
        <v>63</v>
      </c>
      <c r="B13" s="165">
        <v>44136.0</v>
      </c>
      <c r="C13" s="166" t="s">
        <v>89</v>
      </c>
      <c r="D13" s="177">
        <v>195.0</v>
      </c>
      <c r="E13" s="177">
        <v>333.0</v>
      </c>
      <c r="F13" s="168">
        <v>138.0</v>
      </c>
      <c r="G13" s="169">
        <f>'Feb 26'!$D13/E13</f>
        <v>0.5855855856</v>
      </c>
      <c r="H13" s="170"/>
      <c r="I13" s="171">
        <f>'Feb 26'!$F13/'Feb 26'!$E13</f>
        <v>0.4144144144</v>
      </c>
      <c r="J13" s="170"/>
      <c r="K13" s="164">
        <f>SUM('Feb 26'!$L13:$O13)</f>
        <v>14</v>
      </c>
      <c r="L13" s="170">
        <v>5.0</v>
      </c>
      <c r="M13" s="170">
        <v>5.0</v>
      </c>
      <c r="N13" s="170">
        <v>3.0</v>
      </c>
      <c r="O13" s="170">
        <v>1.0</v>
      </c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8.0" customHeight="1">
      <c r="A14" s="127" t="s">
        <v>63</v>
      </c>
      <c r="B14" s="128">
        <v>44228.0</v>
      </c>
      <c r="C14" s="129" t="s">
        <v>87</v>
      </c>
      <c r="D14" s="174">
        <v>512.0</v>
      </c>
      <c r="E14" s="174">
        <v>375.0</v>
      </c>
      <c r="F14" s="131">
        <v>431.0</v>
      </c>
      <c r="G14" s="132">
        <f>'Feb 26'!$D14/E14</f>
        <v>1.365333333</v>
      </c>
      <c r="H14" s="133"/>
      <c r="I14" s="134">
        <f>'Feb 26'!$F14/'Feb 26'!$E14</f>
        <v>1.149333333</v>
      </c>
      <c r="J14" s="133"/>
      <c r="K14" s="127">
        <f>SUM('Feb 26'!$L14:$O14)</f>
        <v>0</v>
      </c>
      <c r="L14" s="133"/>
      <c r="M14" s="133"/>
      <c r="N14" s="133"/>
      <c r="O14" s="133"/>
    </row>
    <row r="15" ht="18.0" customHeight="1">
      <c r="A15" s="139" t="s">
        <v>63</v>
      </c>
      <c r="B15" s="140">
        <v>44348.0</v>
      </c>
      <c r="C15" s="141" t="s">
        <v>83</v>
      </c>
      <c r="D15" s="178">
        <v>550.0</v>
      </c>
      <c r="E15" s="178">
        <v>1050.0</v>
      </c>
      <c r="F15" s="143">
        <v>470.0</v>
      </c>
      <c r="G15" s="144">
        <f>'Feb 26'!$D15/E15</f>
        <v>0.5238095238</v>
      </c>
      <c r="H15" s="145" t="s">
        <v>129</v>
      </c>
      <c r="I15" s="146">
        <f>'Feb 26'!$F15/'Feb 26'!$E15</f>
        <v>0.4476190476</v>
      </c>
      <c r="J15" s="145"/>
      <c r="K15" s="139">
        <f>SUM('Feb 26'!$L15:$O15)</f>
        <v>0</v>
      </c>
      <c r="L15" s="145"/>
      <c r="M15" s="145"/>
      <c r="N15" s="145"/>
      <c r="O15" s="145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8.0" customHeight="1">
      <c r="A16" s="127" t="s">
        <v>63</v>
      </c>
      <c r="B16" s="128">
        <v>44409.0</v>
      </c>
      <c r="C16" s="129" t="s">
        <v>80</v>
      </c>
      <c r="D16" s="174">
        <v>1750.0</v>
      </c>
      <c r="E16" s="174">
        <v>3050.0</v>
      </c>
      <c r="F16" s="131">
        <v>2096.0</v>
      </c>
      <c r="G16" s="132">
        <f>'Feb 26'!$D16/E16</f>
        <v>0.5737704918</v>
      </c>
      <c r="H16" s="127" t="s">
        <v>132</v>
      </c>
      <c r="I16" s="134">
        <f>'Feb 26'!$F16/'Feb 26'!$E16</f>
        <v>0.6872131148</v>
      </c>
      <c r="J16" s="133" t="s">
        <v>82</v>
      </c>
      <c r="K16" s="127">
        <f>SUM('Feb 26'!$L16:$O16)</f>
        <v>20</v>
      </c>
      <c r="L16" s="133">
        <v>5.0</v>
      </c>
      <c r="M16" s="133">
        <v>5.0</v>
      </c>
      <c r="N16" s="133">
        <v>5.0</v>
      </c>
      <c r="O16" s="133">
        <v>5.0</v>
      </c>
    </row>
    <row r="17" ht="18.0" customHeight="1">
      <c r="A17" s="139" t="s">
        <v>63</v>
      </c>
      <c r="B17" s="140">
        <v>44470.0</v>
      </c>
      <c r="C17" s="141" t="s">
        <v>78</v>
      </c>
      <c r="D17" s="178">
        <v>1120.0</v>
      </c>
      <c r="E17" s="178">
        <v>560.0</v>
      </c>
      <c r="F17" s="143">
        <v>289.0</v>
      </c>
      <c r="G17" s="144">
        <f>'Feb 26'!$D17/E17</f>
        <v>2</v>
      </c>
      <c r="H17" s="145"/>
      <c r="I17" s="146">
        <f>'Feb 26'!$F17/'Feb 26'!$E17</f>
        <v>0.5160714286</v>
      </c>
      <c r="J17" s="145"/>
      <c r="K17" s="139">
        <f>SUM('Feb 26'!$L17:$O17)</f>
        <v>0</v>
      </c>
      <c r="L17" s="145"/>
      <c r="M17" s="145"/>
      <c r="N17" s="145"/>
      <c r="O17" s="145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8.0" customHeight="1">
      <c r="A18" s="127" t="s">
        <v>63</v>
      </c>
      <c r="B18" s="128">
        <v>44501.0</v>
      </c>
      <c r="C18" s="129" t="s">
        <v>76</v>
      </c>
      <c r="D18" s="174">
        <v>795.0</v>
      </c>
      <c r="E18" s="174">
        <v>1150.0</v>
      </c>
      <c r="F18" s="131">
        <v>900.0</v>
      </c>
      <c r="G18" s="132">
        <f>'Feb 26'!$D18/E18</f>
        <v>0.6913043478</v>
      </c>
      <c r="H18" s="133" t="s">
        <v>133</v>
      </c>
      <c r="I18" s="134">
        <f>'Feb 26'!$F18/'Feb 26'!$E18</f>
        <v>0.7826086957</v>
      </c>
      <c r="J18" s="133"/>
      <c r="K18" s="127">
        <f>SUM('Feb 26'!$L18:$O18)</f>
        <v>0</v>
      </c>
      <c r="L18" s="133"/>
      <c r="M18" s="133"/>
      <c r="N18" s="133"/>
      <c r="O18" s="133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8.0" customHeight="1">
      <c r="A19" s="139" t="s">
        <v>63</v>
      </c>
      <c r="B19" s="140">
        <v>44593.0</v>
      </c>
      <c r="C19" s="141" t="s">
        <v>74</v>
      </c>
      <c r="D19" s="178">
        <v>419.0</v>
      </c>
      <c r="E19" s="178">
        <v>490.0</v>
      </c>
      <c r="F19" s="143">
        <v>262.0</v>
      </c>
      <c r="G19" s="144">
        <f>'Feb 26'!$D19/E19</f>
        <v>0.8551020408</v>
      </c>
      <c r="H19" s="145"/>
      <c r="I19" s="146">
        <f>'Feb 26'!$F19/'Feb 26'!$E19</f>
        <v>0.5346938776</v>
      </c>
      <c r="J19" s="145"/>
      <c r="K19" s="139">
        <f>SUM('Feb 26'!$L19:$O19)</f>
        <v>0</v>
      </c>
      <c r="L19" s="145"/>
      <c r="M19" s="145"/>
      <c r="N19" s="145"/>
      <c r="O19" s="1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8.0" customHeight="1">
      <c r="A20" s="147" t="s">
        <v>63</v>
      </c>
      <c r="B20" s="148">
        <v>44682.0</v>
      </c>
      <c r="C20" s="149" t="s">
        <v>72</v>
      </c>
      <c r="D20" s="179">
        <v>285.0</v>
      </c>
      <c r="E20" s="179">
        <v>742.0</v>
      </c>
      <c r="F20" s="151">
        <v>230.0</v>
      </c>
      <c r="G20" s="152">
        <f>'Feb 26'!$D20/E20</f>
        <v>0.384097035</v>
      </c>
      <c r="H20" s="153"/>
      <c r="I20" s="154">
        <f>'Feb 26'!$F20/'Feb 26'!$E20</f>
        <v>0.3099730458</v>
      </c>
      <c r="J20" s="153"/>
      <c r="K20" s="147">
        <f>SUM('Feb 26'!$L20:$O20)</f>
        <v>0</v>
      </c>
      <c r="L20" s="153"/>
      <c r="M20" s="153"/>
      <c r="N20" s="153"/>
      <c r="O20" s="153"/>
    </row>
    <row r="21" ht="18.0" customHeight="1">
      <c r="A21" s="139" t="s">
        <v>63</v>
      </c>
      <c r="B21" s="140">
        <v>44805.0</v>
      </c>
      <c r="C21" s="141" t="s">
        <v>70</v>
      </c>
      <c r="D21" s="178">
        <v>521.0</v>
      </c>
      <c r="E21" s="178">
        <v>816.0</v>
      </c>
      <c r="F21" s="143">
        <v>621.0</v>
      </c>
      <c r="G21" s="144">
        <f>'Feb 26'!$D21/E21</f>
        <v>0.6384803922</v>
      </c>
      <c r="H21" s="145"/>
      <c r="I21" s="146">
        <f>'Feb 26'!$F21/'Feb 26'!$E21</f>
        <v>0.7610294118</v>
      </c>
      <c r="J21" s="145"/>
      <c r="K21" s="139">
        <f>SUM('Feb 26'!$L21:$O21)</f>
        <v>0</v>
      </c>
      <c r="L21" s="145"/>
      <c r="M21" s="145"/>
      <c r="N21" s="145"/>
      <c r="O21" s="145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8.0" customHeight="1">
      <c r="A22" s="139" t="s">
        <v>63</v>
      </c>
      <c r="B22" s="140">
        <v>44866.0</v>
      </c>
      <c r="C22" s="141" t="s">
        <v>67</v>
      </c>
      <c r="D22" s="178">
        <v>350.0</v>
      </c>
      <c r="E22" s="178">
        <v>540.0</v>
      </c>
      <c r="F22" s="143">
        <v>300.0</v>
      </c>
      <c r="G22" s="144">
        <f>'Feb 26'!$D22/E22</f>
        <v>0.6481481481</v>
      </c>
      <c r="H22" s="145"/>
      <c r="I22" s="146">
        <f>'Feb 26'!$F22/'Feb 26'!$E22</f>
        <v>0.5555555556</v>
      </c>
      <c r="J22" s="145"/>
      <c r="K22" s="139">
        <f>SUM('Feb 26'!$L22:$O22)</f>
        <v>0</v>
      </c>
      <c r="L22" s="145"/>
      <c r="M22" s="145"/>
      <c r="N22" s="145"/>
      <c r="O22" s="145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8.0" customHeight="1">
      <c r="A23" s="139" t="s">
        <v>63</v>
      </c>
      <c r="B23" s="140">
        <v>44927.0</v>
      </c>
      <c r="C23" s="141" t="s">
        <v>64</v>
      </c>
      <c r="D23" s="178">
        <v>984.0</v>
      </c>
      <c r="E23" s="178">
        <v>1720.0</v>
      </c>
      <c r="F23" s="143">
        <v>514.0</v>
      </c>
      <c r="G23" s="144">
        <f>'Feb 26'!$D23/E23</f>
        <v>0.5720930233</v>
      </c>
      <c r="H23" s="145"/>
      <c r="I23" s="146">
        <f>'Feb 26'!$F23/'Feb 26'!$E23</f>
        <v>0.2988372093</v>
      </c>
      <c r="J23" s="145"/>
      <c r="K23" s="139">
        <f>SUM('Feb 26'!$L23:$O23)</f>
        <v>0</v>
      </c>
      <c r="L23" s="145"/>
      <c r="M23" s="145"/>
      <c r="N23" s="145"/>
      <c r="O23" s="145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8.0" customHeight="1">
      <c r="A24" s="147" t="s">
        <v>25</v>
      </c>
      <c r="B24" s="148">
        <v>44986.0</v>
      </c>
      <c r="C24" s="149" t="s">
        <v>61</v>
      </c>
      <c r="D24" s="179">
        <v>198.0</v>
      </c>
      <c r="E24" s="179">
        <v>429.0</v>
      </c>
      <c r="F24" s="151">
        <v>90.0</v>
      </c>
      <c r="G24" s="152">
        <f>'Feb 26'!$D24/E24</f>
        <v>0.4615384615</v>
      </c>
      <c r="H24" s="153"/>
      <c r="I24" s="154">
        <f>'Feb 26'!$F24/'Feb 26'!$E24</f>
        <v>0.2097902098</v>
      </c>
      <c r="J24" s="153" t="s">
        <v>53</v>
      </c>
      <c r="K24" s="147">
        <f>SUM('Feb 26'!$L24:$O24)</f>
        <v>0</v>
      </c>
      <c r="L24" s="153"/>
      <c r="M24" s="153"/>
      <c r="N24" s="153"/>
      <c r="O24" s="153"/>
    </row>
    <row r="25" ht="18.0" customHeight="1">
      <c r="A25" s="139" t="s">
        <v>25</v>
      </c>
      <c r="B25" s="140">
        <v>45078.0</v>
      </c>
      <c r="C25" s="141" t="s">
        <v>59</v>
      </c>
      <c r="D25" s="178">
        <v>320.0</v>
      </c>
      <c r="E25" s="178">
        <v>960.0</v>
      </c>
      <c r="F25" s="143">
        <v>300.0</v>
      </c>
      <c r="G25" s="144">
        <f>'Feb 26'!$D25/E25</f>
        <v>0.3333333333</v>
      </c>
      <c r="H25" s="145"/>
      <c r="I25" s="146">
        <f>'Feb 26'!$F25/'Feb 26'!$E25</f>
        <v>0.3125</v>
      </c>
      <c r="J25" s="145" t="s">
        <v>53</v>
      </c>
      <c r="K25" s="139">
        <f>SUM('Feb 26'!$L25:$O25)</f>
        <v>4</v>
      </c>
      <c r="L25" s="145">
        <v>4.0</v>
      </c>
      <c r="M25" s="145"/>
      <c r="N25" s="145"/>
      <c r="O25" s="145"/>
    </row>
    <row r="26" ht="18.0" customHeight="1">
      <c r="A26" s="164" t="s">
        <v>25</v>
      </c>
      <c r="B26" s="165">
        <v>45139.0</v>
      </c>
      <c r="C26" s="166" t="s">
        <v>57</v>
      </c>
      <c r="D26" s="177">
        <v>110.0</v>
      </c>
      <c r="E26" s="177">
        <v>266.0</v>
      </c>
      <c r="F26" s="168">
        <v>97.92</v>
      </c>
      <c r="G26" s="169">
        <f>'Feb 26'!$D26/E26</f>
        <v>0.4135338346</v>
      </c>
      <c r="H26" s="164" t="s">
        <v>137</v>
      </c>
      <c r="I26" s="171">
        <f>'Feb 26'!$F26/'Feb 26'!$E26</f>
        <v>0.3681203008</v>
      </c>
      <c r="J26" s="170" t="s">
        <v>53</v>
      </c>
      <c r="K26" s="164">
        <f>SUM('Feb 26'!$L26:$O26)</f>
        <v>0</v>
      </c>
      <c r="L26" s="170"/>
      <c r="M26" s="170"/>
      <c r="N26" s="170"/>
      <c r="O26" s="170"/>
    </row>
    <row r="27" ht="18.0" customHeight="1">
      <c r="A27" s="118" t="s">
        <v>25</v>
      </c>
      <c r="B27" s="119">
        <v>45170.0</v>
      </c>
      <c r="C27" s="180">
        <v>151.0</v>
      </c>
      <c r="D27" s="181">
        <v>520.0</v>
      </c>
      <c r="E27" s="181">
        <v>1053.0</v>
      </c>
      <c r="F27" s="122">
        <v>317.0</v>
      </c>
      <c r="G27" s="123">
        <f>'Feb 26'!$D27/E27</f>
        <v>0.4938271605</v>
      </c>
      <c r="H27" s="124"/>
      <c r="I27" s="125">
        <f>'Feb 26'!$F27/'Feb 26'!$E27</f>
        <v>0.3010446344</v>
      </c>
      <c r="J27" s="124" t="s">
        <v>53</v>
      </c>
      <c r="K27" s="118">
        <f>SUM('Feb 26'!$L27:$O27)</f>
        <v>0</v>
      </c>
      <c r="L27" s="124"/>
      <c r="M27" s="124"/>
      <c r="N27" s="124"/>
      <c r="O27" s="124"/>
    </row>
    <row r="28" ht="18.0" customHeight="1">
      <c r="A28" s="156" t="s">
        <v>25</v>
      </c>
      <c r="B28" s="157">
        <v>45231.0</v>
      </c>
      <c r="C28" s="158" t="s">
        <v>54</v>
      </c>
      <c r="D28" s="182">
        <v>189.0</v>
      </c>
      <c r="E28" s="182">
        <v>605.0</v>
      </c>
      <c r="F28" s="160">
        <v>106.0</v>
      </c>
      <c r="G28" s="161">
        <f>'Feb 26'!$D28/E28</f>
        <v>0.3123966942</v>
      </c>
      <c r="H28" s="162" t="s">
        <v>128</v>
      </c>
      <c r="I28" s="163">
        <f>'Feb 26'!$F28/'Feb 26'!$E28</f>
        <v>0.1752066116</v>
      </c>
      <c r="J28" s="162" t="s">
        <v>53</v>
      </c>
      <c r="K28" s="156">
        <f>SUM('Feb 26'!$L28:$O28)</f>
        <v>4</v>
      </c>
      <c r="L28" s="162">
        <v>4.0</v>
      </c>
      <c r="M28" s="162"/>
      <c r="N28" s="162"/>
      <c r="O28" s="162"/>
    </row>
    <row r="29" ht="18.0" customHeight="1">
      <c r="A29" s="164" t="s">
        <v>25</v>
      </c>
      <c r="B29" s="165">
        <v>45292.0</v>
      </c>
      <c r="C29" s="166" t="s">
        <v>51</v>
      </c>
      <c r="D29" s="177">
        <v>400.0</v>
      </c>
      <c r="E29" s="177">
        <v>1105.0</v>
      </c>
      <c r="F29" s="168">
        <v>785.0</v>
      </c>
      <c r="G29" s="169">
        <f>'Feb 26'!$D29/E29</f>
        <v>0.3619909502</v>
      </c>
      <c r="H29" s="170"/>
      <c r="I29" s="171">
        <f>'Feb 26'!$F29/'Feb 26'!$E29</f>
        <v>0.7104072398</v>
      </c>
      <c r="J29" s="170" t="s">
        <v>53</v>
      </c>
      <c r="K29" s="164">
        <f>SUM('Feb 26'!$L29:$O29)</f>
        <v>0</v>
      </c>
      <c r="L29" s="170"/>
      <c r="M29" s="170"/>
      <c r="N29" s="170"/>
      <c r="O29" s="170"/>
    </row>
    <row r="30" ht="18.0" customHeight="1">
      <c r="A30" s="156" t="s">
        <v>25</v>
      </c>
      <c r="B30" s="157">
        <v>45352.0</v>
      </c>
      <c r="C30" s="158" t="s">
        <v>49</v>
      </c>
      <c r="D30" s="182">
        <v>198.0</v>
      </c>
      <c r="E30" s="182">
        <v>585.0</v>
      </c>
      <c r="F30" s="160">
        <v>110.0</v>
      </c>
      <c r="G30" s="161">
        <f>'Feb 26'!$D30/E30</f>
        <v>0.3384615385</v>
      </c>
      <c r="H30" s="162"/>
      <c r="I30" s="163">
        <f>'Feb 26'!$F30/'Feb 26'!$E30</f>
        <v>0.188034188</v>
      </c>
      <c r="J30" s="162" t="s">
        <v>41</v>
      </c>
      <c r="K30" s="156">
        <f>SUM('Feb 26'!$L30:$O30)</f>
        <v>4</v>
      </c>
      <c r="L30" s="162">
        <v>4.0</v>
      </c>
      <c r="M30" s="162"/>
      <c r="N30" s="162"/>
      <c r="O30" s="162"/>
    </row>
    <row r="31" ht="18.0" customHeight="1">
      <c r="A31" s="139" t="s">
        <v>25</v>
      </c>
      <c r="B31" s="140">
        <v>45413.0</v>
      </c>
      <c r="C31" s="141" t="s">
        <v>47</v>
      </c>
      <c r="D31" s="178">
        <v>125.0</v>
      </c>
      <c r="E31" s="178">
        <v>717.0</v>
      </c>
      <c r="F31" s="143">
        <v>321.0</v>
      </c>
      <c r="G31" s="144">
        <f>'Feb 26'!$D31/E31</f>
        <v>0.1743375174</v>
      </c>
      <c r="H31" s="145" t="s">
        <v>130</v>
      </c>
      <c r="I31" s="146">
        <f>'Feb 26'!$F31/'Feb 26'!$E31</f>
        <v>0.4476987448</v>
      </c>
      <c r="J31" s="145" t="s">
        <v>41</v>
      </c>
      <c r="K31" s="139">
        <f>SUM('Feb 26'!$L31:$O31)</f>
        <v>2</v>
      </c>
      <c r="L31" s="145">
        <v>2.0</v>
      </c>
      <c r="M31" s="145"/>
      <c r="N31" s="145"/>
      <c r="O31" s="145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8.0" customHeight="1">
      <c r="A32" s="164" t="s">
        <v>25</v>
      </c>
      <c r="B32" s="165">
        <v>45505.0</v>
      </c>
      <c r="C32" s="166" t="s">
        <v>44</v>
      </c>
      <c r="D32" s="177">
        <v>259.25</v>
      </c>
      <c r="E32" s="177">
        <v>305.0</v>
      </c>
      <c r="F32" s="168">
        <v>123.0</v>
      </c>
      <c r="G32" s="169">
        <f>'Feb 26'!$D32/E32</f>
        <v>0.85</v>
      </c>
      <c r="H32" s="170"/>
      <c r="I32" s="171">
        <f>'Feb 26'!$F32/'Feb 26'!$E32</f>
        <v>0.4032786885</v>
      </c>
      <c r="J32" s="183" t="s">
        <v>41</v>
      </c>
      <c r="K32" s="164">
        <f>SUM('Feb 26'!$L32:$O32)</f>
        <v>0</v>
      </c>
      <c r="L32" s="170"/>
      <c r="M32" s="170"/>
      <c r="N32" s="170"/>
      <c r="O32" s="170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8.0" customHeight="1">
      <c r="A33" s="127" t="s">
        <v>25</v>
      </c>
      <c r="B33" s="128">
        <v>45536.0</v>
      </c>
      <c r="C33" s="129" t="s">
        <v>42</v>
      </c>
      <c r="D33" s="174">
        <v>110.0</v>
      </c>
      <c r="E33" s="174">
        <v>165.0</v>
      </c>
      <c r="F33" s="131">
        <v>122.0</v>
      </c>
      <c r="G33" s="132">
        <f>'Feb 26'!$D33/E33</f>
        <v>0.6666666667</v>
      </c>
      <c r="H33" s="133" t="s">
        <v>135</v>
      </c>
      <c r="I33" s="134">
        <f>'Feb 26'!$F33/'Feb 26'!$E33</f>
        <v>0.7393939394</v>
      </c>
      <c r="J33" s="133" t="s">
        <v>41</v>
      </c>
      <c r="K33" s="127">
        <f>SUM('Feb 26'!$L33:$O33)</f>
        <v>0</v>
      </c>
      <c r="L33" s="133"/>
      <c r="M33" s="133"/>
      <c r="N33" s="133"/>
      <c r="O33" s="133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8.0" customHeight="1">
      <c r="A34" s="127" t="s">
        <v>25</v>
      </c>
      <c r="B34" s="128">
        <v>45597.0</v>
      </c>
      <c r="C34" s="129" t="s">
        <v>39</v>
      </c>
      <c r="D34" s="174">
        <v>200.0</v>
      </c>
      <c r="E34" s="174">
        <v>725.0</v>
      </c>
      <c r="F34" s="131">
        <v>372.0</v>
      </c>
      <c r="G34" s="132">
        <f>'Feb 26'!$D34/E34</f>
        <v>0.275862069</v>
      </c>
      <c r="H34" s="133" t="s">
        <v>127</v>
      </c>
      <c r="I34" s="134">
        <f>'Feb 26'!$F34/'Feb 26'!$E34</f>
        <v>0.5131034483</v>
      </c>
      <c r="J34" s="133" t="s">
        <v>41</v>
      </c>
      <c r="K34" s="127">
        <f>SUM('Feb 26'!$L34:$O34)</f>
        <v>3</v>
      </c>
      <c r="L34" s="133">
        <v>3.0</v>
      </c>
      <c r="M34" s="133"/>
      <c r="N34" s="133"/>
      <c r="O34" s="133"/>
    </row>
    <row r="35" ht="18.0" customHeight="1">
      <c r="A35" s="139" t="s">
        <v>25</v>
      </c>
      <c r="B35" s="140">
        <v>45658.0</v>
      </c>
      <c r="C35" s="141" t="s">
        <v>37</v>
      </c>
      <c r="D35" s="178">
        <v>405.0</v>
      </c>
      <c r="E35" s="178">
        <v>4095.0</v>
      </c>
      <c r="F35" s="143">
        <v>1550.0</v>
      </c>
      <c r="G35" s="144">
        <f>'Feb 26'!$D35/E35</f>
        <v>0.0989010989</v>
      </c>
      <c r="H35" s="145"/>
      <c r="I35" s="146">
        <f>'Feb 26'!$F35/'Feb 26'!$E35</f>
        <v>0.3785103785</v>
      </c>
      <c r="J35" s="145"/>
      <c r="K35" s="139">
        <f>SUM('Feb 26'!$L35:$O35)</f>
        <v>14</v>
      </c>
      <c r="L35" s="145">
        <v>2.0</v>
      </c>
      <c r="M35" s="145">
        <v>2.0</v>
      </c>
      <c r="N35" s="145">
        <v>5.0</v>
      </c>
      <c r="O35" s="145">
        <v>5.0</v>
      </c>
    </row>
    <row r="36" ht="18.0" customHeight="1">
      <c r="A36" s="127" t="s">
        <v>25</v>
      </c>
      <c r="B36" s="128">
        <v>45717.0</v>
      </c>
      <c r="C36" s="129" t="s">
        <v>144</v>
      </c>
      <c r="D36" s="174">
        <v>180.0</v>
      </c>
      <c r="E36" s="174">
        <v>400.0</v>
      </c>
      <c r="F36" s="131">
        <v>182.0</v>
      </c>
      <c r="G36" s="132">
        <f>'Feb 26'!$D36/E36</f>
        <v>0.45</v>
      </c>
      <c r="H36" s="133"/>
      <c r="I36" s="134">
        <f>'Feb 26'!$F36/'Feb 26'!$E36</f>
        <v>0.455</v>
      </c>
      <c r="J36" s="133"/>
      <c r="K36" s="127">
        <f>SUM('Feb 26'!$L36:$O36)</f>
        <v>0</v>
      </c>
      <c r="L36" s="133"/>
      <c r="M36" s="133"/>
      <c r="N36" s="133"/>
      <c r="O36" s="133"/>
    </row>
    <row r="37" ht="18.0" customHeight="1">
      <c r="A37" s="127" t="s">
        <v>25</v>
      </c>
      <c r="B37" s="128">
        <v>45778.0</v>
      </c>
      <c r="C37" s="136" t="s">
        <v>33</v>
      </c>
      <c r="D37" s="176">
        <v>310.0</v>
      </c>
      <c r="E37" s="176">
        <v>1010.0</v>
      </c>
      <c r="F37" s="134">
        <v>550.0</v>
      </c>
      <c r="G37" s="132">
        <f>'Feb 26'!$D37/E37</f>
        <v>0.3069306931</v>
      </c>
      <c r="H37" s="127" t="s">
        <v>131</v>
      </c>
      <c r="I37" s="134">
        <f>'Feb 26'!$F37/'Feb 26'!$E37</f>
        <v>0.5445544554</v>
      </c>
      <c r="J37" s="133"/>
      <c r="K37" s="127">
        <f>SUM('Feb 26'!$L37:$O37)</f>
        <v>19</v>
      </c>
      <c r="L37" s="133">
        <v>4.0</v>
      </c>
      <c r="M37" s="133">
        <v>5.0</v>
      </c>
      <c r="N37" s="133">
        <v>5.0</v>
      </c>
      <c r="O37" s="133">
        <v>5.0</v>
      </c>
    </row>
    <row r="38" ht="18.0" customHeight="1">
      <c r="A38" s="127" t="s">
        <v>30</v>
      </c>
      <c r="B38" s="128">
        <v>45839.0</v>
      </c>
      <c r="C38" s="129" t="s">
        <v>31</v>
      </c>
      <c r="D38" s="174">
        <v>312.0</v>
      </c>
      <c r="E38" s="174">
        <v>1550.0</v>
      </c>
      <c r="F38" s="131">
        <v>561.89</v>
      </c>
      <c r="G38" s="132">
        <f>'Feb 26'!$D38/E38</f>
        <v>0.2012903226</v>
      </c>
      <c r="H38" s="133"/>
      <c r="I38" s="134">
        <f>'Feb 26'!$F38/'Feb 26'!$E38</f>
        <v>0.3625096774</v>
      </c>
      <c r="J38" s="133"/>
      <c r="K38" s="127">
        <f>SUM('Feb 26'!$L38:$O38)</f>
        <v>1</v>
      </c>
      <c r="L38" s="133">
        <v>1.0</v>
      </c>
      <c r="M38" s="133"/>
      <c r="N38" s="133"/>
      <c r="O38" s="133"/>
    </row>
    <row r="39" ht="18.0" customHeight="1">
      <c r="A39" s="127" t="s">
        <v>25</v>
      </c>
      <c r="B39" s="128">
        <v>45839.0</v>
      </c>
      <c r="C39" s="129" t="s">
        <v>28</v>
      </c>
      <c r="D39" s="174">
        <v>408.0</v>
      </c>
      <c r="E39" s="174">
        <v>1972.0</v>
      </c>
      <c r="F39" s="131">
        <v>938.0</v>
      </c>
      <c r="G39" s="132">
        <f>'Feb 26'!$D39/E39</f>
        <v>0.2068965517</v>
      </c>
      <c r="H39" s="133"/>
      <c r="I39" s="134">
        <f>'Feb 26'!$F39/'Feb 26'!$E39</f>
        <v>0.4756592292</v>
      </c>
      <c r="J39" s="133"/>
      <c r="K39" s="127">
        <f>SUM('Feb 26'!$L39:$O39)</f>
        <v>1</v>
      </c>
      <c r="L39" s="133">
        <v>1.0</v>
      </c>
      <c r="M39" s="133"/>
      <c r="N39" s="133"/>
      <c r="O39" s="133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8.0" customHeight="1">
      <c r="A40" s="127" t="s">
        <v>25</v>
      </c>
      <c r="B40" s="128">
        <v>45901.0</v>
      </c>
      <c r="C40" s="136" t="s">
        <v>145</v>
      </c>
      <c r="D40" s="176">
        <v>155.0</v>
      </c>
      <c r="E40" s="176">
        <v>1720.0</v>
      </c>
      <c r="F40" s="134">
        <v>450.0</v>
      </c>
      <c r="G40" s="132">
        <f>'Feb 26'!$D40/E40</f>
        <v>0.09011627907</v>
      </c>
      <c r="H40" s="127" t="s">
        <v>124</v>
      </c>
      <c r="I40" s="134">
        <f>'Feb 26'!$F40/'Feb 26'!$E40</f>
        <v>0.261627907</v>
      </c>
      <c r="J40" s="133"/>
      <c r="K40" s="127">
        <f>SUM('Feb 26'!$L40:$O40)</f>
        <v>1</v>
      </c>
      <c r="L40" s="133">
        <v>1.0</v>
      </c>
      <c r="M40" s="133"/>
      <c r="N40" s="138"/>
      <c r="O40" s="133"/>
    </row>
    <row r="41" ht="18.0" customHeight="1">
      <c r="A41" s="127" t="s">
        <v>125</v>
      </c>
      <c r="B41" s="128">
        <v>45962.0</v>
      </c>
      <c r="C41" s="129" t="s">
        <v>23</v>
      </c>
      <c r="D41" s="174">
        <v>206.0</v>
      </c>
      <c r="E41" s="174">
        <v>970.0</v>
      </c>
      <c r="F41" s="131">
        <v>784.0</v>
      </c>
      <c r="G41" s="132">
        <f>'Feb 26'!$D41/E41</f>
        <v>0.212371134</v>
      </c>
      <c r="H41" s="133" t="s">
        <v>126</v>
      </c>
      <c r="I41" s="134">
        <f>'Feb 26'!$F41/'Feb 26'!$E41</f>
        <v>0.8082474227</v>
      </c>
      <c r="J41" s="133"/>
      <c r="K41" s="127">
        <f>SUM('Feb 26'!$L41:$O41)</f>
        <v>1</v>
      </c>
      <c r="L41" s="133">
        <v>1.0</v>
      </c>
      <c r="M41" s="133"/>
      <c r="N41" s="133"/>
      <c r="O41" s="133"/>
    </row>
    <row r="42" ht="18.0" customHeight="1">
      <c r="A42" s="127" t="s">
        <v>15</v>
      </c>
      <c r="B42" s="128">
        <v>46023.0</v>
      </c>
      <c r="C42" s="129" t="s">
        <v>21</v>
      </c>
      <c r="D42" s="174">
        <v>405.0</v>
      </c>
      <c r="E42" s="174">
        <v>2378.0</v>
      </c>
      <c r="F42" s="131">
        <v>1638.0</v>
      </c>
      <c r="G42" s="132">
        <f>'Feb 26'!$D42/E42</f>
        <v>0.1703111859</v>
      </c>
      <c r="H42" s="133"/>
      <c r="I42" s="134">
        <f>'Feb 26'!$F42/'Feb 26'!$E42</f>
        <v>0.6888141295</v>
      </c>
      <c r="J42" s="133"/>
      <c r="K42" s="127">
        <f>SUM('Feb 26'!$L42:$O42)</f>
        <v>15</v>
      </c>
      <c r="L42" s="133">
        <v>3.0</v>
      </c>
      <c r="M42" s="133">
        <v>2.0</v>
      </c>
      <c r="N42" s="133">
        <v>5.0</v>
      </c>
      <c r="O42" s="133">
        <v>5.0</v>
      </c>
    </row>
    <row r="43" ht="15.75" customHeight="1">
      <c r="B43" s="173"/>
      <c r="F43" s="108"/>
      <c r="G43" s="112"/>
      <c r="I43" s="110"/>
      <c r="K43" s="110"/>
    </row>
    <row r="44" ht="15.75" customHeight="1">
      <c r="B44" s="173"/>
      <c r="F44" s="108"/>
      <c r="G44" s="112"/>
      <c r="I44" s="110"/>
      <c r="K44" s="110"/>
    </row>
    <row r="45" ht="15.75" customHeight="1">
      <c r="B45" s="173"/>
      <c r="F45" s="108"/>
      <c r="G45" s="112"/>
      <c r="I45" s="173" t="s">
        <v>139</v>
      </c>
      <c r="K45" s="110"/>
    </row>
    <row r="46" ht="15.75" customHeight="1">
      <c r="B46" s="173"/>
      <c r="F46" s="108"/>
      <c r="G46" s="112"/>
      <c r="I46" s="173" t="s">
        <v>140</v>
      </c>
      <c r="K46" s="110"/>
    </row>
    <row r="47" ht="15.75" customHeight="1">
      <c r="B47" s="173"/>
      <c r="F47" s="108"/>
      <c r="G47" s="112"/>
      <c r="I47" s="173" t="s">
        <v>141</v>
      </c>
      <c r="K47" s="110"/>
    </row>
    <row r="48" ht="15.75" customHeight="1">
      <c r="B48" s="173"/>
      <c r="F48" s="108"/>
      <c r="G48" s="112"/>
      <c r="I48" s="173" t="s">
        <v>142</v>
      </c>
      <c r="K48" s="110"/>
    </row>
    <row r="49" ht="15.75" customHeight="1">
      <c r="B49" s="173"/>
      <c r="F49" s="108"/>
      <c r="G49" s="112"/>
      <c r="I49" s="110"/>
      <c r="K49" s="110"/>
    </row>
    <row r="50" ht="15.75" customHeight="1">
      <c r="B50" s="173"/>
      <c r="F50" s="108"/>
      <c r="G50" s="112"/>
      <c r="I50" s="110"/>
      <c r="K50" s="110"/>
    </row>
    <row r="51" ht="15.75" customHeight="1">
      <c r="B51" s="173"/>
      <c r="F51" s="108"/>
      <c r="G51" s="112"/>
      <c r="I51" s="110"/>
      <c r="J51" s="10"/>
      <c r="K51" s="110"/>
    </row>
    <row r="52" ht="15.75" customHeight="1">
      <c r="B52" s="173"/>
      <c r="F52" s="108"/>
      <c r="G52" s="112"/>
      <c r="I52" s="110"/>
      <c r="J52" s="24"/>
      <c r="K52" s="110"/>
    </row>
    <row r="53" ht="15.75" customHeight="1">
      <c r="B53" s="173"/>
      <c r="F53" s="108"/>
      <c r="G53" s="112"/>
      <c r="I53" s="110"/>
      <c r="J53" s="24"/>
      <c r="K53" s="110"/>
    </row>
    <row r="54" ht="15.75" customHeight="1">
      <c r="B54" s="173"/>
      <c r="F54" s="108"/>
      <c r="G54" s="112"/>
      <c r="I54" s="110"/>
      <c r="J54" s="24"/>
      <c r="K54" s="110"/>
    </row>
    <row r="55" ht="15.75" customHeight="1">
      <c r="B55" s="173"/>
      <c r="F55" s="108"/>
      <c r="G55" s="112"/>
      <c r="I55" s="110"/>
      <c r="K55" s="110"/>
    </row>
    <row r="56" ht="15.75" customHeight="1">
      <c r="B56" s="173"/>
      <c r="F56" s="108"/>
      <c r="G56" s="112"/>
      <c r="I56" s="110"/>
      <c r="K56" s="110"/>
    </row>
    <row r="57" ht="15.75" customHeight="1">
      <c r="B57" s="173"/>
      <c r="F57" s="108"/>
      <c r="G57" s="112"/>
      <c r="I57" s="110"/>
      <c r="K57" s="110"/>
    </row>
    <row r="58" ht="15.75" customHeight="1">
      <c r="B58" s="173"/>
      <c r="F58" s="108"/>
      <c r="G58" s="112"/>
      <c r="I58" s="10"/>
      <c r="J58" s="10"/>
      <c r="K58" s="110"/>
    </row>
    <row r="59" ht="15.75" customHeight="1">
      <c r="B59" s="173"/>
      <c r="F59" s="108"/>
      <c r="G59" s="112"/>
      <c r="I59" s="110"/>
      <c r="J59" s="24"/>
      <c r="K59" s="110"/>
    </row>
    <row r="60" ht="15.75" customHeight="1">
      <c r="B60" s="173"/>
      <c r="F60" s="108"/>
      <c r="G60" s="112"/>
      <c r="I60" s="110"/>
      <c r="J60" s="24"/>
      <c r="K60" s="110"/>
    </row>
    <row r="61" ht="15.75" customHeight="1">
      <c r="B61" s="173"/>
      <c r="F61" s="108"/>
      <c r="G61" s="112"/>
      <c r="I61" s="110"/>
      <c r="J61" s="24"/>
      <c r="K61" s="110"/>
    </row>
    <row r="62" ht="15.75" customHeight="1">
      <c r="B62" s="173"/>
      <c r="F62" s="108"/>
      <c r="G62" s="112"/>
      <c r="I62" s="110"/>
      <c r="J62" s="24"/>
      <c r="K62" s="110"/>
    </row>
    <row r="63" ht="15.75" customHeight="1">
      <c r="B63" s="173"/>
      <c r="F63" s="108"/>
      <c r="G63" s="112"/>
      <c r="I63" s="110"/>
      <c r="J63" s="24"/>
      <c r="K63" s="110"/>
    </row>
    <row r="64" ht="15.75" customHeight="1">
      <c r="B64" s="173"/>
      <c r="F64" s="108"/>
      <c r="G64" s="112"/>
      <c r="I64" s="110"/>
      <c r="K64" s="110"/>
    </row>
    <row r="65" ht="15.75" customHeight="1">
      <c r="B65" s="173"/>
      <c r="F65" s="108"/>
      <c r="G65" s="112"/>
      <c r="I65" s="110"/>
      <c r="K65" s="110"/>
    </row>
    <row r="66" ht="15.75" customHeight="1">
      <c r="B66" s="173"/>
      <c r="F66" s="108"/>
      <c r="G66" s="112"/>
      <c r="I66" s="110"/>
      <c r="K66" s="110"/>
    </row>
    <row r="67" ht="15.75" customHeight="1">
      <c r="B67" s="173"/>
      <c r="F67" s="108"/>
      <c r="G67" s="112"/>
      <c r="I67" s="110"/>
      <c r="K67" s="110"/>
    </row>
    <row r="68" ht="15.75" customHeight="1">
      <c r="B68" s="173"/>
      <c r="F68" s="108"/>
      <c r="G68" s="112"/>
      <c r="I68" s="110"/>
      <c r="K68" s="110"/>
    </row>
    <row r="69" ht="15.75" customHeight="1">
      <c r="B69" s="173"/>
      <c r="F69" s="108"/>
      <c r="G69" s="112"/>
      <c r="I69" s="110"/>
      <c r="K69" s="110"/>
    </row>
    <row r="70" ht="15.75" customHeight="1">
      <c r="B70" s="173"/>
      <c r="F70" s="108"/>
      <c r="G70" s="112"/>
      <c r="I70" s="110"/>
      <c r="K70" s="110"/>
    </row>
    <row r="71" ht="15.75" customHeight="1">
      <c r="B71" s="173"/>
      <c r="F71" s="108"/>
      <c r="G71" s="112"/>
      <c r="I71" s="110"/>
      <c r="K71" s="110"/>
    </row>
    <row r="72" ht="15.75" customHeight="1">
      <c r="B72" s="173"/>
      <c r="F72" s="108"/>
      <c r="G72" s="112"/>
      <c r="I72" s="110"/>
      <c r="K72" s="110"/>
    </row>
    <row r="73" ht="15.75" customHeight="1">
      <c r="B73" s="173"/>
      <c r="F73" s="108"/>
      <c r="G73" s="112"/>
      <c r="I73" s="110"/>
      <c r="K73" s="110"/>
    </row>
    <row r="74" ht="15.75" customHeight="1">
      <c r="B74" s="173"/>
      <c r="F74" s="108"/>
      <c r="G74" s="112"/>
      <c r="I74" s="110"/>
      <c r="K74" s="110"/>
    </row>
    <row r="75" ht="15.75" customHeight="1">
      <c r="B75" s="173"/>
      <c r="F75" s="108"/>
      <c r="G75" s="112"/>
      <c r="I75" s="110"/>
      <c r="K75" s="110"/>
    </row>
    <row r="76" ht="15.75" customHeight="1">
      <c r="B76" s="173"/>
      <c r="F76" s="108"/>
      <c r="G76" s="112"/>
      <c r="I76" s="110"/>
      <c r="K76" s="110"/>
    </row>
    <row r="77" ht="15.75" customHeight="1">
      <c r="B77" s="173"/>
      <c r="F77" s="108"/>
      <c r="G77" s="112"/>
      <c r="I77" s="110"/>
      <c r="K77" s="110"/>
    </row>
    <row r="78" ht="15.75" customHeight="1">
      <c r="B78" s="173"/>
      <c r="F78" s="108"/>
      <c r="G78" s="112"/>
      <c r="I78" s="110"/>
      <c r="K78" s="110"/>
    </row>
    <row r="79" ht="15.75" customHeight="1">
      <c r="B79" s="173"/>
      <c r="F79" s="108"/>
      <c r="G79" s="112"/>
      <c r="I79" s="110"/>
      <c r="K79" s="110"/>
    </row>
    <row r="80" ht="15.75" customHeight="1">
      <c r="B80" s="173"/>
      <c r="F80" s="108"/>
      <c r="G80" s="112"/>
      <c r="I80" s="110"/>
      <c r="K80" s="110"/>
    </row>
    <row r="81" ht="15.75" customHeight="1">
      <c r="B81" s="173"/>
      <c r="F81" s="108"/>
      <c r="G81" s="112"/>
      <c r="I81" s="110"/>
      <c r="K81" s="110"/>
    </row>
    <row r="82" ht="15.75" customHeight="1">
      <c r="B82" s="173"/>
      <c r="F82" s="108"/>
      <c r="G82" s="112"/>
      <c r="I82" s="110"/>
      <c r="K82" s="110"/>
    </row>
    <row r="83" ht="15.75" customHeight="1">
      <c r="B83" s="173"/>
      <c r="F83" s="108"/>
      <c r="G83" s="112"/>
      <c r="I83" s="110"/>
      <c r="K83" s="110"/>
    </row>
    <row r="84" ht="15.75" customHeight="1">
      <c r="B84" s="173"/>
      <c r="F84" s="108"/>
      <c r="G84" s="112"/>
      <c r="I84" s="110"/>
      <c r="K84" s="110"/>
    </row>
    <row r="85" ht="15.75" customHeight="1">
      <c r="B85" s="173"/>
      <c r="F85" s="108"/>
      <c r="G85" s="112"/>
      <c r="I85" s="110"/>
      <c r="K85" s="110"/>
    </row>
    <row r="86" ht="15.75" customHeight="1">
      <c r="B86" s="173"/>
      <c r="F86" s="108"/>
      <c r="G86" s="112"/>
      <c r="I86" s="110"/>
      <c r="K86" s="110"/>
    </row>
    <row r="87" ht="15.75" customHeight="1">
      <c r="B87" s="173"/>
      <c r="F87" s="108"/>
      <c r="G87" s="112"/>
      <c r="I87" s="110"/>
      <c r="K87" s="110"/>
    </row>
    <row r="88" ht="15.75" customHeight="1">
      <c r="B88" s="173"/>
      <c r="F88" s="108"/>
      <c r="G88" s="112"/>
      <c r="I88" s="110"/>
      <c r="K88" s="110"/>
    </row>
    <row r="89" ht="15.75" customHeight="1">
      <c r="B89" s="173"/>
      <c r="F89" s="108"/>
      <c r="G89" s="112"/>
      <c r="I89" s="110"/>
      <c r="K89" s="110"/>
    </row>
    <row r="90" ht="15.75" customHeight="1">
      <c r="B90" s="173"/>
      <c r="F90" s="108"/>
      <c r="G90" s="112"/>
      <c r="I90" s="110"/>
      <c r="K90" s="110"/>
    </row>
    <row r="91" ht="15.75" customHeight="1">
      <c r="B91" s="173"/>
      <c r="F91" s="108"/>
      <c r="G91" s="112"/>
      <c r="I91" s="110"/>
      <c r="K91" s="110"/>
    </row>
    <row r="92" ht="15.75" customHeight="1">
      <c r="B92" s="173"/>
      <c r="F92" s="108"/>
      <c r="G92" s="112"/>
      <c r="I92" s="110"/>
      <c r="K92" s="110"/>
    </row>
    <row r="93" ht="15.75" customHeight="1">
      <c r="B93" s="173"/>
      <c r="F93" s="108"/>
      <c r="G93" s="112"/>
      <c r="I93" s="110"/>
      <c r="K93" s="110"/>
    </row>
    <row r="94" ht="15.75" customHeight="1">
      <c r="B94" s="173"/>
      <c r="F94" s="108"/>
      <c r="G94" s="112"/>
      <c r="I94" s="110"/>
      <c r="K94" s="110"/>
    </row>
    <row r="95" ht="15.75" customHeight="1">
      <c r="B95" s="173"/>
      <c r="F95" s="108"/>
      <c r="G95" s="112"/>
      <c r="I95" s="110"/>
      <c r="K95" s="110"/>
    </row>
    <row r="96" ht="15.75" customHeight="1">
      <c r="B96" s="173"/>
      <c r="F96" s="108"/>
      <c r="G96" s="112"/>
      <c r="I96" s="110"/>
      <c r="K96" s="110"/>
    </row>
    <row r="97" ht="15.75" customHeight="1">
      <c r="B97" s="173"/>
      <c r="F97" s="108"/>
      <c r="G97" s="112"/>
      <c r="I97" s="110"/>
      <c r="K97" s="110"/>
    </row>
    <row r="98" ht="15.75" customHeight="1">
      <c r="B98" s="173"/>
      <c r="F98" s="108"/>
      <c r="G98" s="112"/>
      <c r="I98" s="110"/>
      <c r="K98" s="110"/>
    </row>
    <row r="99" ht="15.75" customHeight="1">
      <c r="B99" s="173"/>
      <c r="F99" s="108"/>
      <c r="G99" s="112"/>
      <c r="I99" s="110"/>
      <c r="K99" s="110"/>
    </row>
    <row r="100" ht="15.75" customHeight="1">
      <c r="B100" s="173"/>
      <c r="F100" s="108"/>
      <c r="G100" s="112"/>
      <c r="I100" s="110"/>
      <c r="K100" s="110"/>
    </row>
    <row r="101" ht="15.75" customHeight="1">
      <c r="B101" s="173"/>
      <c r="F101" s="108"/>
      <c r="G101" s="112"/>
      <c r="I101" s="110"/>
      <c r="K101" s="110"/>
    </row>
    <row r="102" ht="15.75" customHeight="1">
      <c r="B102" s="173"/>
      <c r="F102" s="108"/>
      <c r="G102" s="112"/>
      <c r="I102" s="110"/>
      <c r="K102" s="110"/>
    </row>
    <row r="103" ht="15.75" customHeight="1">
      <c r="B103" s="173"/>
      <c r="F103" s="108"/>
      <c r="G103" s="112"/>
      <c r="I103" s="110"/>
      <c r="K103" s="110"/>
    </row>
    <row r="104" ht="15.75" customHeight="1">
      <c r="B104" s="173"/>
      <c r="F104" s="108"/>
      <c r="G104" s="112"/>
      <c r="I104" s="110"/>
      <c r="K104" s="110"/>
    </row>
    <row r="105" ht="15.75" customHeight="1">
      <c r="B105" s="173"/>
      <c r="F105" s="108"/>
      <c r="G105" s="112"/>
      <c r="I105" s="110"/>
      <c r="K105" s="110"/>
    </row>
    <row r="106" ht="15.75" customHeight="1">
      <c r="B106" s="173"/>
      <c r="F106" s="108"/>
      <c r="G106" s="112"/>
      <c r="I106" s="110"/>
      <c r="K106" s="110"/>
    </row>
    <row r="107" ht="15.75" customHeight="1">
      <c r="B107" s="173"/>
      <c r="F107" s="108"/>
      <c r="G107" s="112"/>
      <c r="I107" s="110"/>
      <c r="K107" s="110"/>
    </row>
    <row r="108" ht="15.75" customHeight="1">
      <c r="B108" s="173"/>
      <c r="F108" s="108"/>
      <c r="G108" s="112"/>
      <c r="I108" s="110"/>
      <c r="K108" s="110"/>
    </row>
    <row r="109" ht="15.75" customHeight="1">
      <c r="B109" s="173"/>
      <c r="F109" s="108"/>
      <c r="G109" s="112"/>
      <c r="I109" s="110"/>
      <c r="K109" s="110"/>
    </row>
    <row r="110" ht="15.75" customHeight="1">
      <c r="B110" s="173"/>
      <c r="F110" s="108"/>
      <c r="G110" s="112"/>
      <c r="I110" s="110"/>
      <c r="K110" s="110"/>
    </row>
    <row r="111" ht="15.75" customHeight="1">
      <c r="B111" s="173"/>
      <c r="F111" s="108"/>
      <c r="G111" s="112"/>
      <c r="I111" s="110"/>
      <c r="K111" s="110"/>
    </row>
    <row r="112" ht="15.75" customHeight="1">
      <c r="B112" s="173"/>
      <c r="F112" s="108"/>
      <c r="G112" s="112"/>
      <c r="I112" s="110"/>
      <c r="K112" s="110"/>
    </row>
    <row r="113" ht="15.75" customHeight="1">
      <c r="B113" s="173"/>
      <c r="F113" s="108"/>
      <c r="G113" s="112"/>
      <c r="I113" s="110"/>
      <c r="K113" s="110"/>
    </row>
    <row r="114" ht="15.75" customHeight="1">
      <c r="B114" s="173"/>
      <c r="F114" s="108"/>
      <c r="G114" s="112"/>
      <c r="I114" s="110"/>
      <c r="K114" s="110"/>
    </row>
    <row r="115" ht="15.75" customHeight="1">
      <c r="B115" s="173"/>
      <c r="F115" s="108"/>
      <c r="G115" s="112"/>
      <c r="I115" s="110"/>
      <c r="K115" s="110"/>
    </row>
    <row r="116" ht="15.75" customHeight="1">
      <c r="B116" s="173"/>
      <c r="F116" s="108"/>
      <c r="G116" s="112"/>
      <c r="I116" s="110"/>
      <c r="K116" s="110"/>
    </row>
    <row r="117" ht="15.75" customHeight="1">
      <c r="B117" s="173"/>
      <c r="F117" s="108"/>
      <c r="G117" s="112"/>
      <c r="I117" s="110"/>
      <c r="K117" s="110"/>
    </row>
    <row r="118" ht="15.75" customHeight="1">
      <c r="B118" s="173"/>
      <c r="F118" s="108"/>
      <c r="G118" s="112"/>
      <c r="I118" s="110"/>
      <c r="K118" s="110"/>
    </row>
    <row r="119" ht="15.75" customHeight="1">
      <c r="B119" s="173"/>
      <c r="F119" s="108"/>
      <c r="G119" s="112"/>
      <c r="I119" s="110"/>
      <c r="K119" s="110"/>
    </row>
    <row r="120" ht="15.75" customHeight="1">
      <c r="B120" s="173"/>
      <c r="F120" s="108"/>
      <c r="G120" s="112"/>
      <c r="I120" s="110"/>
      <c r="K120" s="110"/>
    </row>
    <row r="121" ht="15.75" customHeight="1">
      <c r="B121" s="173"/>
      <c r="F121" s="108"/>
      <c r="G121" s="112"/>
      <c r="I121" s="110"/>
      <c r="K121" s="110"/>
    </row>
    <row r="122" ht="15.75" customHeight="1">
      <c r="B122" s="173"/>
      <c r="F122" s="108"/>
      <c r="G122" s="112"/>
      <c r="I122" s="110"/>
      <c r="K122" s="110"/>
    </row>
    <row r="123" ht="15.75" customHeight="1">
      <c r="B123" s="173"/>
      <c r="F123" s="108"/>
      <c r="G123" s="112"/>
      <c r="I123" s="110"/>
      <c r="K123" s="110"/>
    </row>
    <row r="124" ht="15.75" customHeight="1">
      <c r="B124" s="173"/>
      <c r="F124" s="108"/>
      <c r="G124" s="112"/>
      <c r="I124" s="110"/>
      <c r="K124" s="110"/>
    </row>
    <row r="125" ht="15.75" customHeight="1">
      <c r="B125" s="173"/>
      <c r="F125" s="108"/>
      <c r="G125" s="112"/>
      <c r="I125" s="110"/>
      <c r="K125" s="110"/>
    </row>
    <row r="126" ht="15.75" customHeight="1">
      <c r="B126" s="173"/>
      <c r="F126" s="108"/>
      <c r="G126" s="112"/>
      <c r="I126" s="110"/>
      <c r="K126" s="110"/>
    </row>
    <row r="127" ht="15.75" customHeight="1">
      <c r="B127" s="173"/>
      <c r="F127" s="108"/>
      <c r="G127" s="112"/>
      <c r="I127" s="110"/>
      <c r="K127" s="110"/>
    </row>
    <row r="128" ht="15.75" customHeight="1">
      <c r="B128" s="173"/>
      <c r="F128" s="108"/>
      <c r="G128" s="112"/>
      <c r="I128" s="110"/>
      <c r="K128" s="110"/>
    </row>
    <row r="129" ht="15.75" customHeight="1">
      <c r="B129" s="173"/>
      <c r="F129" s="108"/>
      <c r="G129" s="112"/>
      <c r="I129" s="110"/>
      <c r="K129" s="110"/>
    </row>
    <row r="130" ht="15.75" customHeight="1">
      <c r="B130" s="173"/>
      <c r="F130" s="108"/>
      <c r="G130" s="112"/>
      <c r="I130" s="110"/>
      <c r="K130" s="110"/>
    </row>
    <row r="131" ht="15.75" customHeight="1">
      <c r="B131" s="173"/>
      <c r="F131" s="108"/>
      <c r="G131" s="112"/>
      <c r="I131" s="110"/>
      <c r="K131" s="110"/>
    </row>
    <row r="132" ht="15.75" customHeight="1">
      <c r="B132" s="173"/>
      <c r="F132" s="108"/>
      <c r="G132" s="112"/>
      <c r="I132" s="110"/>
      <c r="K132" s="110"/>
    </row>
    <row r="133" ht="15.75" customHeight="1">
      <c r="B133" s="173"/>
      <c r="F133" s="108"/>
      <c r="G133" s="112"/>
      <c r="I133" s="110"/>
      <c r="K133" s="110"/>
    </row>
    <row r="134" ht="15.75" customHeight="1">
      <c r="B134" s="173"/>
      <c r="F134" s="108"/>
      <c r="G134" s="112"/>
      <c r="I134" s="110"/>
      <c r="K134" s="110"/>
    </row>
    <row r="135" ht="15.75" customHeight="1">
      <c r="B135" s="173"/>
      <c r="F135" s="108"/>
      <c r="G135" s="112"/>
      <c r="I135" s="110"/>
      <c r="K135" s="110"/>
    </row>
    <row r="136" ht="15.75" customHeight="1">
      <c r="B136" s="173"/>
      <c r="F136" s="108"/>
      <c r="G136" s="112"/>
      <c r="I136" s="110"/>
      <c r="K136" s="110"/>
    </row>
    <row r="137" ht="15.75" customHeight="1">
      <c r="B137" s="173"/>
      <c r="F137" s="108"/>
      <c r="G137" s="112"/>
      <c r="I137" s="110"/>
      <c r="K137" s="110"/>
    </row>
    <row r="138" ht="15.75" customHeight="1">
      <c r="B138" s="173"/>
      <c r="F138" s="108"/>
      <c r="G138" s="112"/>
      <c r="I138" s="110"/>
      <c r="K138" s="110"/>
    </row>
    <row r="139" ht="15.75" customHeight="1">
      <c r="B139" s="173"/>
      <c r="F139" s="108"/>
      <c r="G139" s="112"/>
      <c r="I139" s="110"/>
      <c r="K139" s="110"/>
    </row>
    <row r="140" ht="15.75" customHeight="1">
      <c r="B140" s="173"/>
      <c r="F140" s="108"/>
      <c r="G140" s="112"/>
      <c r="I140" s="110"/>
      <c r="K140" s="110"/>
    </row>
    <row r="141" ht="15.75" customHeight="1">
      <c r="B141" s="173"/>
      <c r="F141" s="108"/>
      <c r="G141" s="112"/>
      <c r="I141" s="110"/>
      <c r="K141" s="110"/>
    </row>
    <row r="142" ht="15.75" customHeight="1">
      <c r="B142" s="173"/>
      <c r="F142" s="108"/>
      <c r="G142" s="112"/>
      <c r="I142" s="110"/>
      <c r="K142" s="110"/>
    </row>
    <row r="143" ht="15.75" customHeight="1">
      <c r="B143" s="173"/>
      <c r="F143" s="108"/>
      <c r="G143" s="112"/>
      <c r="I143" s="110"/>
      <c r="K143" s="110"/>
    </row>
    <row r="144" ht="15.75" customHeight="1">
      <c r="B144" s="173"/>
      <c r="F144" s="108"/>
      <c r="G144" s="112"/>
      <c r="I144" s="110"/>
      <c r="K144" s="110"/>
    </row>
    <row r="145" ht="15.75" customHeight="1">
      <c r="B145" s="173"/>
      <c r="F145" s="108"/>
      <c r="G145" s="112"/>
      <c r="I145" s="110"/>
      <c r="K145" s="110"/>
    </row>
    <row r="146" ht="15.75" customHeight="1">
      <c r="B146" s="173"/>
      <c r="F146" s="108"/>
      <c r="G146" s="112"/>
      <c r="I146" s="110"/>
      <c r="K146" s="110"/>
    </row>
    <row r="147" ht="15.75" customHeight="1">
      <c r="B147" s="173"/>
      <c r="F147" s="108"/>
      <c r="G147" s="112"/>
      <c r="I147" s="110"/>
      <c r="K147" s="110"/>
    </row>
    <row r="148" ht="15.75" customHeight="1">
      <c r="B148" s="173"/>
      <c r="F148" s="108"/>
      <c r="G148" s="112"/>
      <c r="I148" s="110"/>
      <c r="K148" s="110"/>
    </row>
    <row r="149" ht="15.75" customHeight="1">
      <c r="B149" s="173"/>
      <c r="F149" s="108"/>
      <c r="G149" s="112"/>
      <c r="I149" s="110"/>
      <c r="K149" s="110"/>
    </row>
    <row r="150" ht="15.75" customHeight="1">
      <c r="B150" s="173"/>
      <c r="F150" s="108"/>
      <c r="G150" s="112"/>
      <c r="I150" s="110"/>
      <c r="K150" s="110"/>
    </row>
    <row r="151" ht="15.75" customHeight="1">
      <c r="B151" s="173"/>
      <c r="F151" s="108"/>
      <c r="G151" s="112"/>
      <c r="I151" s="110"/>
      <c r="K151" s="110"/>
    </row>
    <row r="152" ht="15.75" customHeight="1">
      <c r="B152" s="173"/>
      <c r="F152" s="108"/>
      <c r="G152" s="112"/>
      <c r="I152" s="110"/>
      <c r="K152" s="110"/>
    </row>
    <row r="153" ht="15.75" customHeight="1">
      <c r="B153" s="173"/>
      <c r="F153" s="108"/>
      <c r="G153" s="112"/>
      <c r="I153" s="110"/>
      <c r="K153" s="110"/>
    </row>
    <row r="154" ht="15.75" customHeight="1">
      <c r="B154" s="173"/>
      <c r="F154" s="108"/>
      <c r="G154" s="112"/>
      <c r="I154" s="110"/>
      <c r="K154" s="110"/>
    </row>
    <row r="155" ht="15.75" customHeight="1">
      <c r="B155" s="173"/>
      <c r="F155" s="108"/>
      <c r="G155" s="112"/>
      <c r="I155" s="110"/>
      <c r="K155" s="110"/>
    </row>
    <row r="156" ht="15.75" customHeight="1">
      <c r="B156" s="173"/>
      <c r="F156" s="108"/>
      <c r="G156" s="112"/>
      <c r="I156" s="110"/>
      <c r="K156" s="110"/>
    </row>
    <row r="157" ht="15.75" customHeight="1">
      <c r="B157" s="173"/>
      <c r="F157" s="108"/>
      <c r="G157" s="112"/>
      <c r="I157" s="110"/>
      <c r="K157" s="110"/>
    </row>
    <row r="158" ht="15.75" customHeight="1">
      <c r="B158" s="173"/>
      <c r="F158" s="108"/>
      <c r="G158" s="112"/>
      <c r="I158" s="110"/>
      <c r="K158" s="110"/>
    </row>
    <row r="159" ht="15.75" customHeight="1">
      <c r="B159" s="173"/>
      <c r="F159" s="108"/>
      <c r="G159" s="112"/>
      <c r="I159" s="110"/>
      <c r="K159" s="110"/>
    </row>
    <row r="160" ht="15.75" customHeight="1">
      <c r="B160" s="173"/>
      <c r="F160" s="108"/>
      <c r="G160" s="112"/>
      <c r="I160" s="110"/>
      <c r="K160" s="110"/>
    </row>
    <row r="161" ht="15.75" customHeight="1">
      <c r="B161" s="173"/>
      <c r="F161" s="108"/>
      <c r="G161" s="112"/>
      <c r="I161" s="110"/>
      <c r="K161" s="110"/>
    </row>
    <row r="162" ht="15.75" customHeight="1">
      <c r="B162" s="173"/>
      <c r="F162" s="108"/>
      <c r="G162" s="112"/>
      <c r="I162" s="110"/>
      <c r="K162" s="110"/>
    </row>
    <row r="163" ht="15.75" customHeight="1">
      <c r="B163" s="173"/>
      <c r="F163" s="108"/>
      <c r="G163" s="112"/>
      <c r="I163" s="110"/>
      <c r="K163" s="110"/>
    </row>
    <row r="164" ht="15.75" customHeight="1">
      <c r="B164" s="173"/>
      <c r="F164" s="108"/>
      <c r="G164" s="112"/>
      <c r="I164" s="110"/>
      <c r="K164" s="110"/>
    </row>
    <row r="165" ht="15.75" customHeight="1">
      <c r="B165" s="173"/>
      <c r="F165" s="108"/>
      <c r="G165" s="112"/>
      <c r="I165" s="110"/>
      <c r="K165" s="110"/>
    </row>
    <row r="166" ht="15.75" customHeight="1">
      <c r="B166" s="173"/>
      <c r="F166" s="108"/>
      <c r="G166" s="112"/>
      <c r="I166" s="110"/>
      <c r="K166" s="110"/>
    </row>
    <row r="167" ht="15.75" customHeight="1">
      <c r="B167" s="173"/>
      <c r="F167" s="108"/>
      <c r="G167" s="112"/>
      <c r="I167" s="110"/>
      <c r="K167" s="110"/>
    </row>
    <row r="168" ht="15.75" customHeight="1">
      <c r="B168" s="173"/>
      <c r="F168" s="108"/>
      <c r="G168" s="112"/>
      <c r="I168" s="110"/>
      <c r="K168" s="110"/>
    </row>
    <row r="169" ht="15.75" customHeight="1">
      <c r="B169" s="173"/>
      <c r="F169" s="108"/>
      <c r="G169" s="112"/>
      <c r="I169" s="110"/>
      <c r="K169" s="110"/>
    </row>
    <row r="170" ht="15.75" customHeight="1">
      <c r="B170" s="173"/>
      <c r="F170" s="108"/>
      <c r="G170" s="112"/>
      <c r="I170" s="110"/>
      <c r="K170" s="110"/>
    </row>
    <row r="171" ht="15.75" customHeight="1">
      <c r="B171" s="173"/>
      <c r="F171" s="108"/>
      <c r="G171" s="112"/>
      <c r="I171" s="110"/>
      <c r="K171" s="110"/>
    </row>
    <row r="172" ht="15.75" customHeight="1">
      <c r="B172" s="173"/>
      <c r="F172" s="108"/>
      <c r="G172" s="112"/>
      <c r="I172" s="110"/>
      <c r="K172" s="110"/>
    </row>
    <row r="173" ht="15.75" customHeight="1">
      <c r="B173" s="173"/>
      <c r="F173" s="108"/>
      <c r="G173" s="112"/>
      <c r="I173" s="110"/>
      <c r="K173" s="110"/>
    </row>
    <row r="174" ht="15.75" customHeight="1">
      <c r="B174" s="173"/>
      <c r="F174" s="108"/>
      <c r="G174" s="112"/>
      <c r="I174" s="110"/>
      <c r="K174" s="110"/>
    </row>
    <row r="175" ht="15.75" customHeight="1">
      <c r="B175" s="173"/>
      <c r="F175" s="108"/>
      <c r="G175" s="112"/>
      <c r="I175" s="110"/>
      <c r="K175" s="110"/>
    </row>
    <row r="176" ht="15.75" customHeight="1">
      <c r="B176" s="173"/>
      <c r="F176" s="108"/>
      <c r="G176" s="112"/>
      <c r="I176" s="110"/>
      <c r="K176" s="110"/>
    </row>
    <row r="177" ht="15.75" customHeight="1">
      <c r="B177" s="173"/>
      <c r="F177" s="108"/>
      <c r="G177" s="112"/>
      <c r="I177" s="110"/>
      <c r="K177" s="110"/>
    </row>
    <row r="178" ht="15.75" customHeight="1">
      <c r="B178" s="173"/>
      <c r="F178" s="108"/>
      <c r="G178" s="112"/>
      <c r="I178" s="110"/>
      <c r="K178" s="110"/>
    </row>
    <row r="179" ht="15.75" customHeight="1">
      <c r="B179" s="173"/>
      <c r="F179" s="108"/>
      <c r="G179" s="112"/>
      <c r="I179" s="110"/>
      <c r="K179" s="110"/>
    </row>
    <row r="180" ht="15.75" customHeight="1">
      <c r="B180" s="173"/>
      <c r="F180" s="108"/>
      <c r="G180" s="112"/>
      <c r="I180" s="110"/>
      <c r="K180" s="110"/>
    </row>
    <row r="181" ht="15.75" customHeight="1">
      <c r="B181" s="173"/>
      <c r="F181" s="108"/>
      <c r="G181" s="112"/>
      <c r="I181" s="110"/>
      <c r="K181" s="110"/>
    </row>
    <row r="182" ht="15.75" customHeight="1">
      <c r="B182" s="173"/>
      <c r="F182" s="108"/>
      <c r="G182" s="112"/>
      <c r="I182" s="110"/>
      <c r="K182" s="110"/>
    </row>
    <row r="183" ht="15.75" customHeight="1">
      <c r="B183" s="173"/>
      <c r="F183" s="108"/>
      <c r="G183" s="112"/>
      <c r="I183" s="110"/>
      <c r="K183" s="110"/>
    </row>
    <row r="184" ht="15.75" customHeight="1">
      <c r="B184" s="173"/>
      <c r="F184" s="108"/>
      <c r="G184" s="112"/>
      <c r="I184" s="110"/>
      <c r="K184" s="110"/>
    </row>
    <row r="185" ht="15.75" customHeight="1">
      <c r="B185" s="173"/>
      <c r="F185" s="108"/>
      <c r="G185" s="112"/>
      <c r="I185" s="110"/>
      <c r="K185" s="110"/>
    </row>
    <row r="186" ht="15.75" customHeight="1">
      <c r="B186" s="173"/>
      <c r="F186" s="108"/>
      <c r="G186" s="112"/>
      <c r="I186" s="110"/>
      <c r="K186" s="110"/>
    </row>
    <row r="187" ht="15.75" customHeight="1">
      <c r="B187" s="173"/>
      <c r="F187" s="108"/>
      <c r="G187" s="112"/>
      <c r="I187" s="110"/>
      <c r="K187" s="110"/>
    </row>
    <row r="188" ht="15.75" customHeight="1">
      <c r="B188" s="173"/>
      <c r="F188" s="108"/>
      <c r="G188" s="112"/>
      <c r="I188" s="110"/>
      <c r="K188" s="110"/>
    </row>
    <row r="189" ht="15.75" customHeight="1">
      <c r="B189" s="173"/>
      <c r="F189" s="108"/>
      <c r="G189" s="112"/>
      <c r="I189" s="110"/>
      <c r="K189" s="110"/>
    </row>
    <row r="190" ht="15.75" customHeight="1">
      <c r="B190" s="173"/>
      <c r="F190" s="108"/>
      <c r="G190" s="112"/>
      <c r="I190" s="110"/>
      <c r="K190" s="110"/>
    </row>
    <row r="191" ht="15.75" customHeight="1">
      <c r="B191" s="173"/>
      <c r="F191" s="108"/>
      <c r="G191" s="112"/>
      <c r="I191" s="110"/>
      <c r="K191" s="110"/>
    </row>
    <row r="192" ht="15.75" customHeight="1">
      <c r="B192" s="173"/>
      <c r="F192" s="108"/>
      <c r="G192" s="112"/>
      <c r="I192" s="110"/>
      <c r="K192" s="110"/>
    </row>
    <row r="193" ht="15.75" customHeight="1">
      <c r="B193" s="173"/>
      <c r="F193" s="108"/>
      <c r="G193" s="112"/>
      <c r="I193" s="110"/>
      <c r="K193" s="110"/>
    </row>
    <row r="194" ht="15.75" customHeight="1">
      <c r="B194" s="173"/>
      <c r="F194" s="108"/>
      <c r="G194" s="112"/>
      <c r="I194" s="110"/>
      <c r="K194" s="110"/>
    </row>
    <row r="195" ht="15.75" customHeight="1">
      <c r="B195" s="173"/>
      <c r="F195" s="108"/>
      <c r="G195" s="112"/>
      <c r="I195" s="110"/>
      <c r="K195" s="110"/>
    </row>
    <row r="196" ht="15.75" customHeight="1">
      <c r="B196" s="173"/>
      <c r="F196" s="108"/>
      <c r="G196" s="112"/>
      <c r="I196" s="110"/>
      <c r="K196" s="110"/>
    </row>
    <row r="197" ht="15.75" customHeight="1">
      <c r="B197" s="173"/>
      <c r="F197" s="108"/>
      <c r="G197" s="112"/>
      <c r="I197" s="110"/>
      <c r="K197" s="110"/>
    </row>
    <row r="198" ht="15.75" customHeight="1">
      <c r="B198" s="173"/>
      <c r="F198" s="108"/>
      <c r="G198" s="112"/>
      <c r="I198" s="110"/>
      <c r="K198" s="110"/>
    </row>
    <row r="199" ht="15.75" customHeight="1">
      <c r="B199" s="173"/>
      <c r="F199" s="108"/>
      <c r="G199" s="112"/>
      <c r="I199" s="110"/>
      <c r="K199" s="110"/>
    </row>
    <row r="200" ht="15.75" customHeight="1">
      <c r="B200" s="173"/>
      <c r="F200" s="108"/>
      <c r="G200" s="112"/>
      <c r="I200" s="110"/>
      <c r="K200" s="110"/>
    </row>
    <row r="201" ht="15.75" customHeight="1">
      <c r="B201" s="173"/>
      <c r="F201" s="108"/>
      <c r="G201" s="112"/>
      <c r="I201" s="110"/>
      <c r="K201" s="110"/>
    </row>
    <row r="202" ht="15.75" customHeight="1">
      <c r="B202" s="173"/>
      <c r="F202" s="108"/>
      <c r="G202" s="112"/>
      <c r="I202" s="110"/>
      <c r="K202" s="110"/>
    </row>
    <row r="203" ht="15.75" customHeight="1">
      <c r="B203" s="173"/>
      <c r="F203" s="108"/>
      <c r="G203" s="112"/>
      <c r="I203" s="110"/>
      <c r="K203" s="110"/>
    </row>
    <row r="204" ht="15.75" customHeight="1">
      <c r="B204" s="173"/>
      <c r="F204" s="108"/>
      <c r="G204" s="112"/>
      <c r="I204" s="110"/>
      <c r="K204" s="110"/>
    </row>
    <row r="205" ht="15.75" customHeight="1">
      <c r="B205" s="173"/>
      <c r="F205" s="108"/>
      <c r="G205" s="112"/>
      <c r="I205" s="110"/>
      <c r="K205" s="110"/>
    </row>
    <row r="206" ht="15.75" customHeight="1">
      <c r="B206" s="173"/>
      <c r="F206" s="108"/>
      <c r="G206" s="112"/>
      <c r="I206" s="110"/>
      <c r="K206" s="110"/>
    </row>
    <row r="207" ht="15.75" customHeight="1">
      <c r="B207" s="173"/>
      <c r="F207" s="108"/>
      <c r="G207" s="112"/>
      <c r="I207" s="110"/>
      <c r="K207" s="110"/>
    </row>
    <row r="208" ht="15.75" customHeight="1">
      <c r="B208" s="173"/>
      <c r="F208" s="108"/>
      <c r="G208" s="112"/>
      <c r="I208" s="110"/>
      <c r="K208" s="110"/>
    </row>
    <row r="209" ht="15.75" customHeight="1">
      <c r="B209" s="173"/>
      <c r="F209" s="108"/>
      <c r="G209" s="112"/>
      <c r="I209" s="110"/>
      <c r="K209" s="110"/>
    </row>
    <row r="210" ht="15.75" customHeight="1">
      <c r="B210" s="173"/>
      <c r="F210" s="108"/>
      <c r="G210" s="112"/>
      <c r="I210" s="110"/>
      <c r="K210" s="110"/>
    </row>
    <row r="211" ht="15.75" customHeight="1">
      <c r="B211" s="173"/>
      <c r="F211" s="108"/>
      <c r="G211" s="112"/>
      <c r="I211" s="110"/>
      <c r="K211" s="110"/>
    </row>
    <row r="212" ht="15.75" customHeight="1">
      <c r="B212" s="173"/>
      <c r="F212" s="108"/>
      <c r="G212" s="112"/>
      <c r="I212" s="110"/>
      <c r="K212" s="110"/>
    </row>
    <row r="213" ht="15.75" customHeight="1">
      <c r="B213" s="173"/>
      <c r="F213" s="108"/>
      <c r="G213" s="112"/>
      <c r="I213" s="110"/>
      <c r="K213" s="110"/>
    </row>
    <row r="214" ht="15.75" customHeight="1">
      <c r="B214" s="173"/>
      <c r="F214" s="108"/>
      <c r="G214" s="112"/>
      <c r="I214" s="110"/>
      <c r="K214" s="110"/>
    </row>
    <row r="215" ht="15.75" customHeight="1">
      <c r="B215" s="173"/>
      <c r="F215" s="108"/>
      <c r="G215" s="112"/>
      <c r="I215" s="110"/>
      <c r="K215" s="110"/>
    </row>
    <row r="216" ht="15.75" customHeight="1">
      <c r="B216" s="173"/>
      <c r="F216" s="108"/>
      <c r="G216" s="112"/>
      <c r="I216" s="110"/>
      <c r="K216" s="110"/>
    </row>
    <row r="217" ht="15.75" customHeight="1">
      <c r="B217" s="173"/>
      <c r="F217" s="108"/>
      <c r="G217" s="112"/>
      <c r="I217" s="110"/>
      <c r="K217" s="110"/>
    </row>
    <row r="218" ht="15.75" customHeight="1">
      <c r="B218" s="173"/>
      <c r="F218" s="108"/>
      <c r="G218" s="112"/>
      <c r="I218" s="110"/>
      <c r="K218" s="110"/>
    </row>
    <row r="219" ht="15.75" customHeight="1">
      <c r="B219" s="173"/>
      <c r="F219" s="108"/>
      <c r="G219" s="112"/>
      <c r="I219" s="110"/>
      <c r="K219" s="110"/>
    </row>
    <row r="220" ht="15.75" customHeight="1">
      <c r="B220" s="173"/>
      <c r="F220" s="108"/>
      <c r="G220" s="112"/>
      <c r="I220" s="110"/>
      <c r="K220" s="110"/>
    </row>
    <row r="221" ht="15.75" customHeight="1">
      <c r="B221" s="173"/>
      <c r="F221" s="108"/>
      <c r="G221" s="112"/>
      <c r="I221" s="110"/>
      <c r="K221" s="110"/>
    </row>
    <row r="222" ht="15.75" customHeight="1">
      <c r="B222" s="173"/>
      <c r="F222" s="108"/>
      <c r="G222" s="112"/>
      <c r="I222" s="110"/>
      <c r="K222" s="110"/>
    </row>
    <row r="223" ht="15.75" customHeight="1">
      <c r="B223" s="173"/>
      <c r="F223" s="108"/>
      <c r="G223" s="112"/>
      <c r="I223" s="110"/>
      <c r="K223" s="110"/>
    </row>
    <row r="224" ht="15.75" customHeight="1">
      <c r="B224" s="173"/>
      <c r="F224" s="108"/>
      <c r="G224" s="112"/>
      <c r="I224" s="110"/>
      <c r="K224" s="110"/>
    </row>
    <row r="225" ht="15.75" customHeight="1">
      <c r="B225" s="173"/>
      <c r="F225" s="108"/>
      <c r="G225" s="112"/>
      <c r="I225" s="110"/>
      <c r="K225" s="110"/>
    </row>
    <row r="226" ht="15.75" customHeight="1">
      <c r="B226" s="173"/>
      <c r="F226" s="108"/>
      <c r="G226" s="112"/>
      <c r="I226" s="110"/>
      <c r="K226" s="110"/>
    </row>
    <row r="227" ht="15.75" customHeight="1">
      <c r="B227" s="173"/>
      <c r="F227" s="108"/>
      <c r="G227" s="112"/>
      <c r="I227" s="110"/>
      <c r="K227" s="110"/>
    </row>
    <row r="228" ht="15.75" customHeight="1">
      <c r="B228" s="173"/>
      <c r="F228" s="108"/>
      <c r="G228" s="112"/>
      <c r="I228" s="110"/>
      <c r="K228" s="110"/>
    </row>
    <row r="229" ht="15.75" customHeight="1">
      <c r="B229" s="173"/>
      <c r="F229" s="108"/>
      <c r="G229" s="112"/>
      <c r="I229" s="110"/>
      <c r="K229" s="110"/>
    </row>
    <row r="230" ht="15.75" customHeight="1">
      <c r="B230" s="173"/>
      <c r="F230" s="108"/>
      <c r="G230" s="112"/>
      <c r="I230" s="110"/>
      <c r="K230" s="110"/>
    </row>
    <row r="231" ht="15.75" customHeight="1">
      <c r="B231" s="173"/>
      <c r="F231" s="108"/>
      <c r="G231" s="112"/>
      <c r="I231" s="110"/>
      <c r="K231" s="110"/>
    </row>
    <row r="232" ht="15.75" customHeight="1">
      <c r="B232" s="173"/>
      <c r="F232" s="108"/>
      <c r="G232" s="112"/>
      <c r="I232" s="110"/>
      <c r="K232" s="110"/>
    </row>
    <row r="233" ht="15.75" customHeight="1">
      <c r="B233" s="173"/>
      <c r="F233" s="108"/>
      <c r="G233" s="112"/>
      <c r="I233" s="110"/>
      <c r="K233" s="110"/>
    </row>
    <row r="234" ht="15.75" customHeight="1">
      <c r="B234" s="173"/>
      <c r="F234" s="108"/>
      <c r="G234" s="112"/>
      <c r="I234" s="110"/>
      <c r="K234" s="110"/>
    </row>
    <row r="235" ht="15.75" customHeight="1">
      <c r="B235" s="173"/>
      <c r="F235" s="108"/>
      <c r="G235" s="112"/>
      <c r="I235" s="110"/>
      <c r="K235" s="110"/>
    </row>
    <row r="236" ht="15.75" customHeight="1">
      <c r="B236" s="173"/>
      <c r="F236" s="108"/>
      <c r="G236" s="112"/>
      <c r="I236" s="110"/>
      <c r="K236" s="110"/>
    </row>
    <row r="237" ht="15.75" customHeight="1">
      <c r="B237" s="173"/>
      <c r="F237" s="108"/>
      <c r="G237" s="112"/>
      <c r="I237" s="110"/>
      <c r="K237" s="110"/>
    </row>
    <row r="238" ht="15.75" customHeight="1">
      <c r="B238" s="173"/>
      <c r="F238" s="108"/>
      <c r="G238" s="112"/>
      <c r="I238" s="110"/>
      <c r="K238" s="110"/>
    </row>
    <row r="239" ht="15.75" customHeight="1">
      <c r="B239" s="173"/>
      <c r="F239" s="108"/>
      <c r="G239" s="112"/>
      <c r="I239" s="110"/>
      <c r="K239" s="110"/>
    </row>
    <row r="240" ht="15.75" customHeight="1">
      <c r="B240" s="173"/>
      <c r="F240" s="108"/>
      <c r="G240" s="112"/>
      <c r="I240" s="110"/>
      <c r="K240" s="110"/>
    </row>
    <row r="241" ht="15.75" customHeight="1">
      <c r="B241" s="173"/>
      <c r="F241" s="108"/>
      <c r="G241" s="112"/>
      <c r="I241" s="110"/>
      <c r="K241" s="110"/>
    </row>
    <row r="242" ht="15.75" customHeight="1">
      <c r="B242" s="173"/>
      <c r="F242" s="108"/>
      <c r="G242" s="112"/>
      <c r="I242" s="110"/>
      <c r="K242" s="110"/>
    </row>
    <row r="243" ht="15.75" customHeight="1">
      <c r="B243" s="173"/>
      <c r="F243" s="108"/>
      <c r="G243" s="112"/>
      <c r="I243" s="110"/>
      <c r="K243" s="110"/>
    </row>
    <row r="244" ht="15.75" customHeight="1">
      <c r="B244" s="173"/>
      <c r="F244" s="108"/>
      <c r="G244" s="112"/>
      <c r="I244" s="110"/>
      <c r="K244" s="110"/>
    </row>
    <row r="245" ht="15.75" customHeight="1">
      <c r="B245" s="173"/>
      <c r="F245" s="108"/>
      <c r="G245" s="112"/>
      <c r="I245" s="110"/>
      <c r="K245" s="110"/>
    </row>
    <row r="246" ht="15.75" customHeight="1">
      <c r="B246" s="173"/>
      <c r="F246" s="108"/>
      <c r="G246" s="112"/>
      <c r="I246" s="110"/>
      <c r="K246" s="110"/>
    </row>
    <row r="247" ht="15.75" customHeight="1">
      <c r="B247" s="173"/>
      <c r="F247" s="108"/>
      <c r="G247" s="112"/>
      <c r="I247" s="110"/>
      <c r="K247" s="110"/>
    </row>
    <row r="248" ht="15.75" customHeight="1">
      <c r="B248" s="173"/>
      <c r="F248" s="108"/>
      <c r="G248" s="112"/>
      <c r="I248" s="110"/>
      <c r="K248" s="110"/>
    </row>
    <row r="249" ht="15.75" customHeight="1">
      <c r="B249" s="173"/>
      <c r="F249" s="108"/>
      <c r="G249" s="112"/>
      <c r="I249" s="110"/>
      <c r="K249" s="110"/>
    </row>
    <row r="250" ht="15.75" customHeight="1">
      <c r="B250" s="173"/>
      <c r="F250" s="108"/>
      <c r="G250" s="112"/>
      <c r="I250" s="110"/>
      <c r="K250" s="110"/>
    </row>
    <row r="251" ht="15.75" customHeight="1">
      <c r="B251" s="173"/>
      <c r="F251" s="108"/>
      <c r="G251" s="112"/>
      <c r="I251" s="110"/>
      <c r="K251" s="110"/>
    </row>
    <row r="252" ht="15.75" customHeight="1">
      <c r="B252" s="173"/>
      <c r="F252" s="108"/>
      <c r="G252" s="112"/>
      <c r="I252" s="110"/>
      <c r="K252" s="110"/>
    </row>
    <row r="253" ht="15.75" customHeight="1">
      <c r="B253" s="173"/>
      <c r="F253" s="108"/>
      <c r="G253" s="112"/>
      <c r="I253" s="110"/>
      <c r="K253" s="110"/>
    </row>
    <row r="254" ht="15.75" customHeight="1">
      <c r="B254" s="173"/>
      <c r="F254" s="108"/>
      <c r="G254" s="112"/>
      <c r="I254" s="110"/>
      <c r="K254" s="110"/>
    </row>
    <row r="255" ht="15.75" customHeight="1">
      <c r="B255" s="173"/>
      <c r="F255" s="108"/>
      <c r="G255" s="112"/>
      <c r="I255" s="110"/>
      <c r="K255" s="110"/>
    </row>
    <row r="256" ht="15.75" customHeight="1">
      <c r="B256" s="173"/>
      <c r="F256" s="108"/>
      <c r="G256" s="112"/>
      <c r="I256" s="110"/>
      <c r="K256" s="110"/>
    </row>
    <row r="257" ht="15.75" customHeight="1">
      <c r="B257" s="173"/>
      <c r="F257" s="108"/>
      <c r="G257" s="112"/>
      <c r="I257" s="110"/>
      <c r="K257" s="110"/>
    </row>
    <row r="258" ht="15.75" customHeight="1">
      <c r="B258" s="173"/>
      <c r="F258" s="108"/>
      <c r="G258" s="112"/>
      <c r="I258" s="110"/>
      <c r="K258" s="110"/>
    </row>
    <row r="259" ht="15.75" customHeight="1">
      <c r="B259" s="173"/>
      <c r="F259" s="108"/>
      <c r="G259" s="112"/>
      <c r="I259" s="110"/>
      <c r="K259" s="110"/>
    </row>
    <row r="260" ht="15.75" customHeight="1">
      <c r="B260" s="173"/>
      <c r="F260" s="108"/>
      <c r="G260" s="112"/>
      <c r="I260" s="110"/>
      <c r="K260" s="110"/>
    </row>
    <row r="261" ht="15.75" customHeight="1">
      <c r="B261" s="173"/>
      <c r="F261" s="108"/>
      <c r="G261" s="112"/>
      <c r="I261" s="110"/>
      <c r="K261" s="110"/>
    </row>
    <row r="262" ht="15.75" customHeight="1">
      <c r="B262" s="173"/>
      <c r="F262" s="108"/>
      <c r="G262" s="112"/>
      <c r="I262" s="110"/>
      <c r="K262" s="110"/>
    </row>
    <row r="263" ht="15.75" customHeight="1">
      <c r="B263" s="173"/>
      <c r="F263" s="108"/>
      <c r="G263" s="112"/>
      <c r="I263" s="110"/>
      <c r="K263" s="110"/>
    </row>
    <row r="264" ht="15.75" customHeight="1">
      <c r="B264" s="173"/>
      <c r="F264" s="108"/>
      <c r="G264" s="112"/>
      <c r="I264" s="110"/>
      <c r="K264" s="110"/>
    </row>
    <row r="265" ht="15.75" customHeight="1">
      <c r="B265" s="173"/>
      <c r="F265" s="108"/>
      <c r="G265" s="112"/>
      <c r="I265" s="110"/>
      <c r="K265" s="110"/>
    </row>
    <row r="266" ht="15.75" customHeight="1">
      <c r="B266" s="173"/>
      <c r="F266" s="108"/>
      <c r="G266" s="112"/>
      <c r="I266" s="110"/>
      <c r="K266" s="110"/>
    </row>
    <row r="267" ht="15.75" customHeight="1">
      <c r="B267" s="173"/>
      <c r="F267" s="108"/>
      <c r="G267" s="112"/>
      <c r="I267" s="110"/>
      <c r="K267" s="110"/>
    </row>
    <row r="268" ht="15.75" customHeight="1">
      <c r="B268" s="173"/>
      <c r="F268" s="108"/>
      <c r="G268" s="112"/>
      <c r="I268" s="110"/>
      <c r="K268" s="110"/>
    </row>
    <row r="269" ht="15.75" customHeight="1">
      <c r="B269" s="173"/>
      <c r="F269" s="108"/>
      <c r="G269" s="112"/>
      <c r="I269" s="110"/>
      <c r="K269" s="110"/>
    </row>
    <row r="270" ht="15.75" customHeight="1">
      <c r="B270" s="173"/>
      <c r="F270" s="108"/>
      <c r="G270" s="112"/>
      <c r="I270" s="110"/>
      <c r="K270" s="110"/>
    </row>
    <row r="271" ht="15.75" customHeight="1">
      <c r="B271" s="173"/>
      <c r="F271" s="108"/>
      <c r="G271" s="112"/>
      <c r="I271" s="110"/>
      <c r="K271" s="110"/>
    </row>
    <row r="272" ht="15.75" customHeight="1">
      <c r="B272" s="173"/>
      <c r="F272" s="108"/>
      <c r="G272" s="112"/>
      <c r="I272" s="110"/>
      <c r="K272" s="110"/>
    </row>
    <row r="273" ht="15.75" customHeight="1">
      <c r="B273" s="173"/>
      <c r="F273" s="108"/>
      <c r="G273" s="112"/>
      <c r="I273" s="110"/>
      <c r="K273" s="110"/>
    </row>
    <row r="274" ht="15.75" customHeight="1">
      <c r="B274" s="173"/>
      <c r="F274" s="108"/>
      <c r="G274" s="112"/>
      <c r="I274" s="110"/>
      <c r="K274" s="110"/>
    </row>
    <row r="275" ht="15.75" customHeight="1">
      <c r="B275" s="173"/>
      <c r="F275" s="108"/>
      <c r="G275" s="112"/>
      <c r="I275" s="110"/>
      <c r="K275" s="110"/>
    </row>
    <row r="276" ht="15.75" customHeight="1">
      <c r="B276" s="173"/>
      <c r="F276" s="108"/>
      <c r="G276" s="112"/>
      <c r="I276" s="110"/>
      <c r="K276" s="110"/>
    </row>
    <row r="277" ht="15.75" customHeight="1">
      <c r="B277" s="173"/>
      <c r="F277" s="108"/>
      <c r="G277" s="112"/>
      <c r="I277" s="110"/>
      <c r="K277" s="110"/>
    </row>
    <row r="278" ht="15.75" customHeight="1">
      <c r="B278" s="173"/>
      <c r="F278" s="108"/>
      <c r="G278" s="112"/>
      <c r="I278" s="110"/>
      <c r="K278" s="110"/>
    </row>
    <row r="279" ht="15.75" customHeight="1">
      <c r="B279" s="173"/>
      <c r="F279" s="108"/>
      <c r="G279" s="112"/>
      <c r="I279" s="110"/>
      <c r="K279" s="110"/>
    </row>
    <row r="280" ht="15.75" customHeight="1">
      <c r="B280" s="173"/>
      <c r="F280" s="108"/>
      <c r="G280" s="112"/>
      <c r="I280" s="110"/>
      <c r="K280" s="110"/>
    </row>
    <row r="281" ht="15.75" customHeight="1">
      <c r="B281" s="173"/>
      <c r="F281" s="108"/>
      <c r="G281" s="112"/>
      <c r="I281" s="110"/>
      <c r="K281" s="110"/>
    </row>
    <row r="282" ht="15.75" customHeight="1">
      <c r="B282" s="173"/>
      <c r="F282" s="108"/>
      <c r="G282" s="112"/>
      <c r="I282" s="110"/>
      <c r="K282" s="110"/>
    </row>
    <row r="283" ht="15.75" customHeight="1">
      <c r="B283" s="173"/>
      <c r="F283" s="108"/>
      <c r="G283" s="112"/>
      <c r="I283" s="110"/>
      <c r="K283" s="110"/>
    </row>
    <row r="284" ht="15.75" customHeight="1">
      <c r="B284" s="173"/>
      <c r="F284" s="108"/>
      <c r="G284" s="112"/>
      <c r="I284" s="110"/>
      <c r="K284" s="110"/>
    </row>
    <row r="285" ht="15.75" customHeight="1">
      <c r="B285" s="173"/>
      <c r="F285" s="108"/>
      <c r="G285" s="112"/>
      <c r="I285" s="110"/>
      <c r="K285" s="110"/>
    </row>
    <row r="286" ht="15.75" customHeight="1">
      <c r="B286" s="173"/>
      <c r="F286" s="108"/>
      <c r="G286" s="112"/>
      <c r="I286" s="110"/>
      <c r="K286" s="110"/>
    </row>
    <row r="287" ht="15.75" customHeight="1">
      <c r="B287" s="173"/>
      <c r="F287" s="108"/>
      <c r="G287" s="112"/>
      <c r="I287" s="110"/>
      <c r="K287" s="110"/>
    </row>
    <row r="288" ht="15.75" customHeight="1">
      <c r="B288" s="173"/>
      <c r="F288" s="108"/>
      <c r="G288" s="112"/>
      <c r="I288" s="110"/>
      <c r="K288" s="110"/>
    </row>
    <row r="289" ht="15.75" customHeight="1">
      <c r="B289" s="173"/>
      <c r="F289" s="108"/>
      <c r="G289" s="112"/>
      <c r="I289" s="110"/>
      <c r="K289" s="110"/>
    </row>
    <row r="290" ht="15.75" customHeight="1">
      <c r="B290" s="173"/>
      <c r="F290" s="108"/>
      <c r="G290" s="112"/>
      <c r="I290" s="110"/>
      <c r="K290" s="110"/>
    </row>
    <row r="291" ht="15.75" customHeight="1">
      <c r="B291" s="173"/>
      <c r="F291" s="108"/>
      <c r="G291" s="112"/>
      <c r="I291" s="110"/>
      <c r="K291" s="110"/>
    </row>
    <row r="292" ht="15.75" customHeight="1">
      <c r="B292" s="173"/>
      <c r="F292" s="108"/>
      <c r="G292" s="112"/>
      <c r="I292" s="110"/>
      <c r="K292" s="110"/>
    </row>
    <row r="293" ht="15.75" customHeight="1">
      <c r="B293" s="173"/>
      <c r="F293" s="108"/>
      <c r="G293" s="112"/>
      <c r="I293" s="110"/>
      <c r="K293" s="110"/>
    </row>
    <row r="294" ht="15.75" customHeight="1">
      <c r="B294" s="173"/>
      <c r="F294" s="108"/>
      <c r="G294" s="112"/>
      <c r="I294" s="110"/>
      <c r="K294" s="110"/>
    </row>
    <row r="295" ht="15.75" customHeight="1">
      <c r="B295" s="173"/>
      <c r="F295" s="108"/>
      <c r="G295" s="112"/>
      <c r="I295" s="110"/>
      <c r="K295" s="110"/>
    </row>
    <row r="296" ht="15.75" customHeight="1">
      <c r="B296" s="173"/>
      <c r="F296" s="108"/>
      <c r="G296" s="112"/>
      <c r="I296" s="110"/>
      <c r="K296" s="110"/>
    </row>
    <row r="297" ht="15.75" customHeight="1">
      <c r="B297" s="173"/>
      <c r="F297" s="108"/>
      <c r="G297" s="112"/>
      <c r="I297" s="110"/>
      <c r="K297" s="110"/>
    </row>
    <row r="298" ht="15.75" customHeight="1">
      <c r="B298" s="173"/>
      <c r="F298" s="108"/>
      <c r="G298" s="112"/>
      <c r="I298" s="110"/>
      <c r="K298" s="110"/>
    </row>
    <row r="299" ht="15.75" customHeight="1">
      <c r="B299" s="173"/>
      <c r="F299" s="108"/>
      <c r="G299" s="112"/>
      <c r="I299" s="110"/>
      <c r="K299" s="110"/>
    </row>
    <row r="300" ht="15.75" customHeight="1">
      <c r="B300" s="173"/>
      <c r="F300" s="108"/>
      <c r="G300" s="112"/>
      <c r="I300" s="110"/>
      <c r="K300" s="110"/>
    </row>
    <row r="301" ht="15.75" customHeight="1">
      <c r="B301" s="173"/>
      <c r="F301" s="108"/>
      <c r="G301" s="112"/>
      <c r="I301" s="110"/>
      <c r="K301" s="110"/>
    </row>
    <row r="302" ht="15.75" customHeight="1">
      <c r="B302" s="173"/>
      <c r="F302" s="108"/>
      <c r="G302" s="112"/>
      <c r="I302" s="110"/>
      <c r="K302" s="110"/>
    </row>
    <row r="303" ht="15.75" customHeight="1">
      <c r="B303" s="173"/>
      <c r="F303" s="108"/>
      <c r="G303" s="112"/>
      <c r="I303" s="110"/>
      <c r="K303" s="110"/>
    </row>
    <row r="304" ht="15.75" customHeight="1">
      <c r="B304" s="173"/>
      <c r="F304" s="108"/>
      <c r="G304" s="112"/>
      <c r="I304" s="110"/>
      <c r="K304" s="110"/>
    </row>
    <row r="305" ht="15.75" customHeight="1">
      <c r="B305" s="173"/>
      <c r="F305" s="108"/>
      <c r="G305" s="112"/>
      <c r="I305" s="110"/>
      <c r="K305" s="110"/>
    </row>
    <row r="306" ht="15.75" customHeight="1">
      <c r="B306" s="173"/>
      <c r="F306" s="108"/>
      <c r="G306" s="112"/>
      <c r="I306" s="110"/>
      <c r="K306" s="110"/>
    </row>
    <row r="307" ht="15.75" customHeight="1">
      <c r="B307" s="173"/>
      <c r="F307" s="108"/>
      <c r="G307" s="112"/>
      <c r="I307" s="110"/>
      <c r="K307" s="110"/>
    </row>
    <row r="308" ht="15.75" customHeight="1">
      <c r="B308" s="173"/>
      <c r="F308" s="108"/>
      <c r="G308" s="112"/>
      <c r="I308" s="110"/>
      <c r="K308" s="110"/>
    </row>
    <row r="309" ht="15.75" customHeight="1">
      <c r="B309" s="173"/>
      <c r="F309" s="108"/>
      <c r="G309" s="112"/>
      <c r="I309" s="110"/>
      <c r="K309" s="110"/>
    </row>
    <row r="310" ht="15.75" customHeight="1">
      <c r="B310" s="173"/>
      <c r="F310" s="108"/>
      <c r="G310" s="112"/>
      <c r="I310" s="110"/>
      <c r="K310" s="110"/>
    </row>
    <row r="311" ht="15.75" customHeight="1">
      <c r="B311" s="173"/>
      <c r="F311" s="108"/>
      <c r="G311" s="112"/>
      <c r="I311" s="110"/>
      <c r="K311" s="110"/>
    </row>
    <row r="312" ht="15.75" customHeight="1">
      <c r="B312" s="173"/>
      <c r="F312" s="108"/>
      <c r="G312" s="112"/>
      <c r="I312" s="110"/>
      <c r="K312" s="110"/>
    </row>
    <row r="313" ht="15.75" customHeight="1">
      <c r="B313" s="173"/>
      <c r="F313" s="108"/>
      <c r="G313" s="112"/>
      <c r="I313" s="110"/>
      <c r="K313" s="110"/>
    </row>
    <row r="314" ht="15.75" customHeight="1">
      <c r="B314" s="173"/>
      <c r="F314" s="108"/>
      <c r="G314" s="112"/>
      <c r="I314" s="110"/>
      <c r="K314" s="110"/>
    </row>
    <row r="315" ht="15.75" customHeight="1">
      <c r="B315" s="173"/>
      <c r="F315" s="108"/>
      <c r="G315" s="112"/>
      <c r="I315" s="110"/>
      <c r="K315" s="110"/>
    </row>
    <row r="316" ht="15.75" customHeight="1">
      <c r="B316" s="173"/>
      <c r="F316" s="108"/>
      <c r="G316" s="112"/>
      <c r="I316" s="110"/>
      <c r="K316" s="110"/>
    </row>
    <row r="317" ht="15.75" customHeight="1">
      <c r="B317" s="173"/>
      <c r="F317" s="108"/>
      <c r="G317" s="112"/>
      <c r="I317" s="110"/>
      <c r="K317" s="110"/>
    </row>
    <row r="318" ht="15.75" customHeight="1">
      <c r="B318" s="173"/>
      <c r="F318" s="108"/>
      <c r="G318" s="112"/>
      <c r="I318" s="110"/>
      <c r="K318" s="110"/>
    </row>
    <row r="319" ht="15.75" customHeight="1">
      <c r="B319" s="173"/>
      <c r="F319" s="108"/>
      <c r="G319" s="112"/>
      <c r="I319" s="110"/>
      <c r="K319" s="110"/>
    </row>
    <row r="320" ht="15.75" customHeight="1">
      <c r="B320" s="173"/>
      <c r="F320" s="108"/>
      <c r="G320" s="112"/>
      <c r="I320" s="110"/>
      <c r="K320" s="110"/>
    </row>
    <row r="321" ht="15.75" customHeight="1">
      <c r="B321" s="173"/>
      <c r="F321" s="108"/>
      <c r="G321" s="112"/>
      <c r="I321" s="110"/>
      <c r="K321" s="110"/>
    </row>
    <row r="322" ht="15.75" customHeight="1">
      <c r="B322" s="173"/>
      <c r="F322" s="108"/>
      <c r="G322" s="112"/>
      <c r="I322" s="110"/>
      <c r="K322" s="110"/>
    </row>
    <row r="323" ht="15.75" customHeight="1">
      <c r="B323" s="173"/>
      <c r="F323" s="108"/>
      <c r="G323" s="112"/>
      <c r="I323" s="110"/>
      <c r="K323" s="110"/>
    </row>
    <row r="324" ht="15.75" customHeight="1">
      <c r="B324" s="173"/>
      <c r="F324" s="108"/>
      <c r="G324" s="112"/>
      <c r="I324" s="110"/>
      <c r="K324" s="110"/>
    </row>
    <row r="325" ht="15.75" customHeight="1">
      <c r="B325" s="173"/>
      <c r="F325" s="108"/>
      <c r="G325" s="112"/>
      <c r="I325" s="110"/>
      <c r="K325" s="110"/>
    </row>
    <row r="326" ht="15.75" customHeight="1">
      <c r="B326" s="173"/>
      <c r="F326" s="108"/>
      <c r="G326" s="112"/>
      <c r="I326" s="110"/>
      <c r="K326" s="110"/>
    </row>
    <row r="327" ht="15.75" customHeight="1">
      <c r="B327" s="173"/>
      <c r="F327" s="108"/>
      <c r="G327" s="112"/>
      <c r="I327" s="110"/>
      <c r="K327" s="110"/>
    </row>
    <row r="328" ht="15.75" customHeight="1">
      <c r="B328" s="173"/>
      <c r="F328" s="108"/>
      <c r="G328" s="112"/>
      <c r="I328" s="110"/>
      <c r="K328" s="110"/>
    </row>
    <row r="329" ht="15.75" customHeight="1">
      <c r="B329" s="173"/>
      <c r="F329" s="108"/>
      <c r="G329" s="112"/>
      <c r="I329" s="110"/>
      <c r="K329" s="110"/>
    </row>
    <row r="330" ht="15.75" customHeight="1">
      <c r="B330" s="173"/>
      <c r="F330" s="108"/>
      <c r="G330" s="112"/>
      <c r="I330" s="110"/>
      <c r="K330" s="110"/>
    </row>
    <row r="331" ht="15.75" customHeight="1">
      <c r="B331" s="173"/>
      <c r="F331" s="108"/>
      <c r="G331" s="112"/>
      <c r="I331" s="110"/>
      <c r="K331" s="110"/>
    </row>
    <row r="332" ht="15.75" customHeight="1">
      <c r="B332" s="173"/>
      <c r="F332" s="108"/>
      <c r="G332" s="112"/>
      <c r="I332" s="110"/>
      <c r="K332" s="110"/>
    </row>
    <row r="333" ht="15.75" customHeight="1">
      <c r="B333" s="173"/>
      <c r="F333" s="108"/>
      <c r="G333" s="112"/>
      <c r="I333" s="110"/>
      <c r="K333" s="110"/>
    </row>
    <row r="334" ht="15.75" customHeight="1">
      <c r="B334" s="173"/>
      <c r="F334" s="108"/>
      <c r="G334" s="112"/>
      <c r="I334" s="110"/>
      <c r="K334" s="110"/>
    </row>
    <row r="335" ht="15.75" customHeight="1">
      <c r="B335" s="173"/>
      <c r="F335" s="108"/>
      <c r="G335" s="112"/>
      <c r="I335" s="110"/>
      <c r="K335" s="110"/>
    </row>
    <row r="336" ht="15.75" customHeight="1">
      <c r="B336" s="173"/>
      <c r="F336" s="108"/>
      <c r="G336" s="112"/>
      <c r="I336" s="110"/>
      <c r="K336" s="110"/>
    </row>
    <row r="337" ht="15.75" customHeight="1">
      <c r="B337" s="173"/>
      <c r="F337" s="108"/>
      <c r="G337" s="112"/>
      <c r="I337" s="110"/>
      <c r="K337" s="110"/>
    </row>
    <row r="338" ht="15.75" customHeight="1">
      <c r="B338" s="173"/>
      <c r="F338" s="108"/>
      <c r="G338" s="112"/>
      <c r="I338" s="110"/>
      <c r="K338" s="110"/>
    </row>
    <row r="339" ht="15.75" customHeight="1">
      <c r="B339" s="173"/>
      <c r="F339" s="108"/>
      <c r="G339" s="112"/>
      <c r="I339" s="110"/>
      <c r="K339" s="110"/>
    </row>
    <row r="340" ht="15.75" customHeight="1">
      <c r="B340" s="173"/>
      <c r="F340" s="108"/>
      <c r="G340" s="112"/>
      <c r="I340" s="110"/>
      <c r="K340" s="110"/>
    </row>
    <row r="341" ht="15.75" customHeight="1">
      <c r="B341" s="173"/>
      <c r="F341" s="108"/>
      <c r="G341" s="112"/>
      <c r="I341" s="110"/>
      <c r="K341" s="110"/>
    </row>
    <row r="342" ht="15.75" customHeight="1">
      <c r="B342" s="173"/>
      <c r="F342" s="108"/>
      <c r="G342" s="112"/>
      <c r="I342" s="110"/>
      <c r="K342" s="110"/>
    </row>
    <row r="343" ht="15.75" customHeight="1">
      <c r="B343" s="173"/>
      <c r="F343" s="108"/>
      <c r="G343" s="112"/>
      <c r="I343" s="110"/>
      <c r="K343" s="110"/>
    </row>
    <row r="344" ht="15.75" customHeight="1">
      <c r="B344" s="173"/>
      <c r="F344" s="108"/>
      <c r="G344" s="112"/>
      <c r="I344" s="110"/>
      <c r="K344" s="110"/>
    </row>
    <row r="345" ht="15.75" customHeight="1">
      <c r="B345" s="173"/>
      <c r="F345" s="108"/>
      <c r="G345" s="112"/>
      <c r="I345" s="110"/>
      <c r="K345" s="110"/>
    </row>
    <row r="346" ht="15.75" customHeight="1">
      <c r="B346" s="173"/>
      <c r="F346" s="108"/>
      <c r="G346" s="112"/>
      <c r="I346" s="110"/>
      <c r="K346" s="110"/>
    </row>
    <row r="347" ht="15.75" customHeight="1">
      <c r="B347" s="173"/>
      <c r="F347" s="108"/>
      <c r="G347" s="112"/>
      <c r="I347" s="110"/>
      <c r="K347" s="110"/>
    </row>
    <row r="348" ht="15.75" customHeight="1">
      <c r="B348" s="173"/>
      <c r="F348" s="108"/>
      <c r="G348" s="112"/>
      <c r="I348" s="110"/>
      <c r="K348" s="110"/>
    </row>
    <row r="349" ht="15.75" customHeight="1">
      <c r="B349" s="173"/>
      <c r="F349" s="108"/>
      <c r="G349" s="112"/>
      <c r="I349" s="110"/>
      <c r="K349" s="110"/>
    </row>
    <row r="350" ht="15.75" customHeight="1">
      <c r="B350" s="173"/>
      <c r="F350" s="108"/>
      <c r="G350" s="112"/>
      <c r="I350" s="110"/>
      <c r="K350" s="110"/>
    </row>
    <row r="351" ht="15.75" customHeight="1">
      <c r="B351" s="173"/>
      <c r="F351" s="108"/>
      <c r="G351" s="112"/>
      <c r="I351" s="110"/>
      <c r="K351" s="110"/>
    </row>
    <row r="352" ht="15.75" customHeight="1">
      <c r="B352" s="173"/>
      <c r="F352" s="108"/>
      <c r="G352" s="112"/>
      <c r="I352" s="110"/>
      <c r="K352" s="110"/>
    </row>
    <row r="353" ht="15.75" customHeight="1">
      <c r="B353" s="173"/>
      <c r="F353" s="108"/>
      <c r="G353" s="112"/>
      <c r="I353" s="110"/>
      <c r="K353" s="110"/>
    </row>
    <row r="354" ht="15.75" customHeight="1">
      <c r="B354" s="173"/>
      <c r="F354" s="108"/>
      <c r="G354" s="112"/>
      <c r="I354" s="110"/>
      <c r="K354" s="110"/>
    </row>
    <row r="355" ht="15.75" customHeight="1">
      <c r="B355" s="173"/>
      <c r="F355" s="108"/>
      <c r="G355" s="112"/>
      <c r="I355" s="110"/>
      <c r="K355" s="110"/>
    </row>
    <row r="356" ht="15.75" customHeight="1">
      <c r="B356" s="173"/>
      <c r="F356" s="108"/>
      <c r="G356" s="112"/>
      <c r="I356" s="110"/>
      <c r="K356" s="110"/>
    </row>
    <row r="357" ht="15.75" customHeight="1">
      <c r="B357" s="173"/>
      <c r="F357" s="108"/>
      <c r="G357" s="112"/>
      <c r="I357" s="110"/>
      <c r="K357" s="110"/>
    </row>
    <row r="358" ht="15.75" customHeight="1">
      <c r="B358" s="173"/>
      <c r="F358" s="108"/>
      <c r="G358" s="112"/>
      <c r="I358" s="110"/>
      <c r="K358" s="110"/>
    </row>
    <row r="359" ht="15.75" customHeight="1">
      <c r="B359" s="173"/>
      <c r="F359" s="108"/>
      <c r="G359" s="112"/>
      <c r="I359" s="110"/>
      <c r="K359" s="110"/>
    </row>
    <row r="360" ht="15.75" customHeight="1">
      <c r="B360" s="173"/>
      <c r="F360" s="108"/>
      <c r="G360" s="112"/>
      <c r="I360" s="110"/>
      <c r="K360" s="110"/>
    </row>
    <row r="361" ht="15.75" customHeight="1">
      <c r="B361" s="173"/>
      <c r="F361" s="108"/>
      <c r="G361" s="112"/>
      <c r="I361" s="110"/>
      <c r="K361" s="110"/>
    </row>
    <row r="362" ht="15.75" customHeight="1">
      <c r="B362" s="173"/>
      <c r="F362" s="108"/>
      <c r="G362" s="112"/>
      <c r="I362" s="110"/>
      <c r="K362" s="110"/>
    </row>
    <row r="363" ht="15.75" customHeight="1">
      <c r="B363" s="173"/>
      <c r="F363" s="108"/>
      <c r="G363" s="112"/>
      <c r="I363" s="110"/>
      <c r="K363" s="110"/>
    </row>
    <row r="364" ht="15.75" customHeight="1">
      <c r="B364" s="173"/>
      <c r="F364" s="108"/>
      <c r="G364" s="112"/>
      <c r="I364" s="110"/>
      <c r="K364" s="110"/>
    </row>
    <row r="365" ht="15.75" customHeight="1">
      <c r="B365" s="173"/>
      <c r="F365" s="108"/>
      <c r="G365" s="112"/>
      <c r="I365" s="110"/>
      <c r="K365" s="110"/>
    </row>
    <row r="366" ht="15.75" customHeight="1">
      <c r="B366" s="173"/>
      <c r="F366" s="108"/>
      <c r="G366" s="112"/>
      <c r="I366" s="110"/>
      <c r="K366" s="110"/>
    </row>
    <row r="367" ht="15.75" customHeight="1">
      <c r="B367" s="173"/>
      <c r="F367" s="108"/>
      <c r="G367" s="112"/>
      <c r="I367" s="110"/>
      <c r="K367" s="110"/>
    </row>
    <row r="368" ht="15.75" customHeight="1">
      <c r="B368" s="173"/>
      <c r="F368" s="108"/>
      <c r="G368" s="112"/>
      <c r="I368" s="110"/>
      <c r="K368" s="110"/>
    </row>
    <row r="369" ht="15.75" customHeight="1">
      <c r="B369" s="173"/>
      <c r="F369" s="108"/>
      <c r="G369" s="112"/>
      <c r="I369" s="110"/>
      <c r="K369" s="110"/>
    </row>
    <row r="370" ht="15.75" customHeight="1">
      <c r="B370" s="173"/>
      <c r="F370" s="108"/>
      <c r="G370" s="112"/>
      <c r="I370" s="110"/>
      <c r="K370" s="110"/>
    </row>
    <row r="371" ht="15.75" customHeight="1">
      <c r="B371" s="173"/>
      <c r="F371" s="108"/>
      <c r="G371" s="112"/>
      <c r="I371" s="110"/>
      <c r="K371" s="110"/>
    </row>
    <row r="372" ht="15.75" customHeight="1">
      <c r="B372" s="173"/>
      <c r="F372" s="108"/>
      <c r="G372" s="112"/>
      <c r="I372" s="110"/>
      <c r="K372" s="110"/>
    </row>
    <row r="373" ht="15.75" customHeight="1">
      <c r="B373" s="173"/>
      <c r="F373" s="108"/>
      <c r="G373" s="112"/>
      <c r="I373" s="110"/>
      <c r="K373" s="110"/>
    </row>
    <row r="374" ht="15.75" customHeight="1">
      <c r="B374" s="173"/>
      <c r="F374" s="108"/>
      <c r="G374" s="112"/>
      <c r="I374" s="110"/>
      <c r="K374" s="110"/>
    </row>
    <row r="375" ht="15.75" customHeight="1">
      <c r="B375" s="173"/>
      <c r="F375" s="108"/>
      <c r="G375" s="112"/>
      <c r="I375" s="110"/>
      <c r="K375" s="110"/>
    </row>
    <row r="376" ht="15.75" customHeight="1">
      <c r="B376" s="173"/>
      <c r="F376" s="108"/>
      <c r="G376" s="112"/>
      <c r="I376" s="110"/>
      <c r="K376" s="110"/>
    </row>
    <row r="377" ht="15.75" customHeight="1">
      <c r="B377" s="173"/>
      <c r="F377" s="108"/>
      <c r="G377" s="112"/>
      <c r="I377" s="110"/>
      <c r="K377" s="110"/>
    </row>
    <row r="378" ht="15.75" customHeight="1">
      <c r="B378" s="173"/>
      <c r="F378" s="108"/>
      <c r="G378" s="112"/>
      <c r="I378" s="110"/>
      <c r="K378" s="110"/>
    </row>
    <row r="379" ht="15.75" customHeight="1">
      <c r="B379" s="173"/>
      <c r="F379" s="108"/>
      <c r="G379" s="112"/>
      <c r="I379" s="110"/>
      <c r="K379" s="110"/>
    </row>
    <row r="380" ht="15.75" customHeight="1">
      <c r="B380" s="173"/>
      <c r="F380" s="108"/>
      <c r="G380" s="112"/>
      <c r="I380" s="110"/>
      <c r="K380" s="110"/>
    </row>
    <row r="381" ht="15.75" customHeight="1">
      <c r="B381" s="173"/>
      <c r="F381" s="108"/>
      <c r="G381" s="112"/>
      <c r="I381" s="110"/>
      <c r="K381" s="110"/>
    </row>
    <row r="382" ht="15.75" customHeight="1">
      <c r="B382" s="173"/>
      <c r="F382" s="108"/>
      <c r="G382" s="112"/>
      <c r="I382" s="110"/>
      <c r="K382" s="110"/>
    </row>
    <row r="383" ht="15.75" customHeight="1">
      <c r="B383" s="173"/>
      <c r="F383" s="108"/>
      <c r="G383" s="112"/>
      <c r="I383" s="110"/>
      <c r="K383" s="110"/>
    </row>
    <row r="384" ht="15.75" customHeight="1">
      <c r="B384" s="173"/>
      <c r="F384" s="108"/>
      <c r="G384" s="112"/>
      <c r="I384" s="110"/>
      <c r="K384" s="110"/>
    </row>
    <row r="385" ht="15.75" customHeight="1">
      <c r="B385" s="173"/>
      <c r="F385" s="108"/>
      <c r="G385" s="112"/>
      <c r="I385" s="110"/>
      <c r="K385" s="110"/>
    </row>
    <row r="386" ht="15.75" customHeight="1">
      <c r="B386" s="173"/>
      <c r="F386" s="108"/>
      <c r="G386" s="112"/>
      <c r="I386" s="110"/>
      <c r="K386" s="110"/>
    </row>
    <row r="387" ht="15.75" customHeight="1">
      <c r="B387" s="173"/>
      <c r="F387" s="108"/>
      <c r="G387" s="112"/>
      <c r="I387" s="110"/>
      <c r="K387" s="110"/>
    </row>
    <row r="388" ht="15.75" customHeight="1">
      <c r="B388" s="173"/>
      <c r="F388" s="108"/>
      <c r="G388" s="112"/>
      <c r="I388" s="110"/>
      <c r="K388" s="110"/>
    </row>
    <row r="389" ht="15.75" customHeight="1">
      <c r="B389" s="173"/>
      <c r="F389" s="108"/>
      <c r="G389" s="112"/>
      <c r="I389" s="110"/>
      <c r="K389" s="110"/>
    </row>
    <row r="390" ht="15.75" customHeight="1">
      <c r="B390" s="173"/>
      <c r="F390" s="108"/>
      <c r="G390" s="112"/>
      <c r="I390" s="110"/>
      <c r="K390" s="110"/>
    </row>
    <row r="391" ht="15.75" customHeight="1">
      <c r="B391" s="173"/>
      <c r="F391" s="108"/>
      <c r="G391" s="112"/>
      <c r="I391" s="110"/>
      <c r="K391" s="110"/>
    </row>
    <row r="392" ht="15.75" customHeight="1">
      <c r="B392" s="173"/>
      <c r="F392" s="108"/>
      <c r="G392" s="112"/>
      <c r="I392" s="110"/>
      <c r="K392" s="110"/>
    </row>
    <row r="393" ht="15.75" customHeight="1">
      <c r="B393" s="173"/>
      <c r="F393" s="108"/>
      <c r="G393" s="112"/>
      <c r="I393" s="110"/>
      <c r="K393" s="110"/>
    </row>
    <row r="394" ht="15.75" customHeight="1">
      <c r="B394" s="173"/>
      <c r="F394" s="108"/>
      <c r="G394" s="112"/>
      <c r="I394" s="110"/>
      <c r="K394" s="110"/>
    </row>
    <row r="395" ht="15.75" customHeight="1">
      <c r="B395" s="173"/>
      <c r="F395" s="108"/>
      <c r="G395" s="112"/>
      <c r="I395" s="110"/>
      <c r="K395" s="110"/>
    </row>
    <row r="396" ht="15.75" customHeight="1">
      <c r="B396" s="173"/>
      <c r="F396" s="108"/>
      <c r="G396" s="112"/>
      <c r="I396" s="110"/>
      <c r="K396" s="110"/>
    </row>
    <row r="397" ht="15.75" customHeight="1">
      <c r="B397" s="173"/>
      <c r="F397" s="108"/>
      <c r="G397" s="112"/>
      <c r="I397" s="110"/>
      <c r="K397" s="110"/>
    </row>
    <row r="398" ht="15.75" customHeight="1">
      <c r="B398" s="173"/>
      <c r="F398" s="108"/>
      <c r="G398" s="112"/>
      <c r="I398" s="110"/>
      <c r="K398" s="110"/>
    </row>
    <row r="399" ht="15.75" customHeight="1">
      <c r="B399" s="173"/>
      <c r="F399" s="108"/>
      <c r="G399" s="112"/>
      <c r="I399" s="110"/>
      <c r="K399" s="110"/>
    </row>
    <row r="400" ht="15.75" customHeight="1">
      <c r="B400" s="173"/>
      <c r="F400" s="108"/>
      <c r="G400" s="112"/>
      <c r="I400" s="110"/>
      <c r="K400" s="110"/>
    </row>
    <row r="401" ht="15.75" customHeight="1">
      <c r="B401" s="173"/>
      <c r="F401" s="108"/>
      <c r="G401" s="112"/>
      <c r="I401" s="110"/>
      <c r="K401" s="110"/>
    </row>
    <row r="402" ht="15.75" customHeight="1">
      <c r="B402" s="173"/>
      <c r="F402" s="108"/>
      <c r="G402" s="112"/>
      <c r="I402" s="110"/>
      <c r="K402" s="110"/>
    </row>
    <row r="403" ht="15.75" customHeight="1">
      <c r="B403" s="173"/>
      <c r="F403" s="108"/>
      <c r="G403" s="112"/>
      <c r="I403" s="110"/>
      <c r="K403" s="110"/>
    </row>
    <row r="404" ht="15.75" customHeight="1">
      <c r="B404" s="173"/>
      <c r="F404" s="108"/>
      <c r="G404" s="112"/>
      <c r="I404" s="110"/>
      <c r="K404" s="110"/>
    </row>
    <row r="405" ht="15.75" customHeight="1">
      <c r="B405" s="173"/>
      <c r="F405" s="108"/>
      <c r="G405" s="112"/>
      <c r="I405" s="110"/>
      <c r="K405" s="110"/>
    </row>
    <row r="406" ht="15.75" customHeight="1">
      <c r="B406" s="173"/>
      <c r="F406" s="108"/>
      <c r="G406" s="112"/>
      <c r="I406" s="110"/>
      <c r="K406" s="110"/>
    </row>
    <row r="407" ht="15.75" customHeight="1">
      <c r="B407" s="173"/>
      <c r="F407" s="108"/>
      <c r="G407" s="112"/>
      <c r="I407" s="110"/>
      <c r="K407" s="110"/>
    </row>
    <row r="408" ht="15.75" customHeight="1">
      <c r="B408" s="173"/>
      <c r="F408" s="108"/>
      <c r="G408" s="112"/>
      <c r="I408" s="110"/>
      <c r="K408" s="110"/>
    </row>
    <row r="409" ht="15.75" customHeight="1">
      <c r="B409" s="173"/>
      <c r="F409" s="108"/>
      <c r="G409" s="112"/>
      <c r="I409" s="110"/>
      <c r="K409" s="110"/>
    </row>
    <row r="410" ht="15.75" customHeight="1">
      <c r="B410" s="173"/>
      <c r="F410" s="108"/>
      <c r="G410" s="112"/>
      <c r="I410" s="110"/>
      <c r="K410" s="110"/>
    </row>
    <row r="411" ht="15.75" customHeight="1">
      <c r="B411" s="173"/>
      <c r="F411" s="108"/>
      <c r="G411" s="112"/>
      <c r="I411" s="110"/>
      <c r="K411" s="110"/>
    </row>
    <row r="412" ht="15.75" customHeight="1">
      <c r="B412" s="173"/>
      <c r="F412" s="108"/>
      <c r="G412" s="112"/>
      <c r="I412" s="110"/>
      <c r="K412" s="110"/>
    </row>
    <row r="413" ht="15.75" customHeight="1">
      <c r="B413" s="173"/>
      <c r="F413" s="108"/>
      <c r="G413" s="112"/>
      <c r="I413" s="110"/>
      <c r="K413" s="110"/>
    </row>
    <row r="414" ht="15.75" customHeight="1">
      <c r="B414" s="173"/>
      <c r="F414" s="108"/>
      <c r="G414" s="112"/>
      <c r="I414" s="110"/>
      <c r="K414" s="110"/>
    </row>
    <row r="415" ht="15.75" customHeight="1">
      <c r="B415" s="173"/>
      <c r="F415" s="108"/>
      <c r="G415" s="112"/>
      <c r="I415" s="110"/>
      <c r="K415" s="110"/>
    </row>
    <row r="416" ht="15.75" customHeight="1">
      <c r="B416" s="173"/>
      <c r="F416" s="108"/>
      <c r="G416" s="112"/>
      <c r="I416" s="110"/>
      <c r="K416" s="110"/>
    </row>
    <row r="417" ht="15.75" customHeight="1">
      <c r="B417" s="173"/>
      <c r="F417" s="108"/>
      <c r="G417" s="112"/>
      <c r="I417" s="110"/>
      <c r="K417" s="110"/>
    </row>
    <row r="418" ht="15.75" customHeight="1">
      <c r="B418" s="173"/>
      <c r="F418" s="108"/>
      <c r="G418" s="112"/>
      <c r="I418" s="110"/>
      <c r="K418" s="110"/>
    </row>
    <row r="419" ht="15.75" customHeight="1">
      <c r="B419" s="173"/>
      <c r="F419" s="108"/>
      <c r="G419" s="112"/>
      <c r="I419" s="110"/>
      <c r="K419" s="110"/>
    </row>
    <row r="420" ht="15.75" customHeight="1">
      <c r="B420" s="173"/>
      <c r="F420" s="108"/>
      <c r="G420" s="112"/>
      <c r="I420" s="110"/>
      <c r="K420" s="110"/>
    </row>
    <row r="421" ht="15.75" customHeight="1">
      <c r="B421" s="173"/>
      <c r="F421" s="108"/>
      <c r="G421" s="112"/>
      <c r="I421" s="110"/>
      <c r="K421" s="110"/>
    </row>
    <row r="422" ht="15.75" customHeight="1">
      <c r="B422" s="173"/>
      <c r="F422" s="108"/>
      <c r="G422" s="112"/>
      <c r="I422" s="110"/>
      <c r="K422" s="110"/>
    </row>
    <row r="423" ht="15.75" customHeight="1">
      <c r="B423" s="173"/>
      <c r="F423" s="108"/>
      <c r="G423" s="112"/>
      <c r="I423" s="110"/>
      <c r="K423" s="110"/>
    </row>
    <row r="424" ht="15.75" customHeight="1">
      <c r="B424" s="173"/>
      <c r="F424" s="108"/>
      <c r="G424" s="112"/>
      <c r="I424" s="110"/>
      <c r="K424" s="110"/>
    </row>
    <row r="425" ht="15.75" customHeight="1">
      <c r="B425" s="173"/>
      <c r="F425" s="108"/>
      <c r="G425" s="112"/>
      <c r="I425" s="110"/>
      <c r="K425" s="110"/>
    </row>
    <row r="426" ht="15.75" customHeight="1">
      <c r="B426" s="173"/>
      <c r="F426" s="108"/>
      <c r="G426" s="112"/>
      <c r="I426" s="110"/>
      <c r="K426" s="110"/>
    </row>
    <row r="427" ht="15.75" customHeight="1">
      <c r="B427" s="173"/>
      <c r="F427" s="108"/>
      <c r="G427" s="112"/>
      <c r="I427" s="110"/>
      <c r="K427" s="110"/>
    </row>
    <row r="428" ht="15.75" customHeight="1">
      <c r="B428" s="173"/>
      <c r="F428" s="108"/>
      <c r="G428" s="112"/>
      <c r="I428" s="110"/>
      <c r="K428" s="110"/>
    </row>
    <row r="429" ht="15.75" customHeight="1">
      <c r="B429" s="173"/>
      <c r="F429" s="108"/>
      <c r="G429" s="112"/>
      <c r="I429" s="110"/>
      <c r="K429" s="110"/>
    </row>
    <row r="430" ht="15.75" customHeight="1">
      <c r="B430" s="173"/>
      <c r="F430" s="108"/>
      <c r="G430" s="112"/>
      <c r="I430" s="110"/>
      <c r="K430" s="110"/>
    </row>
    <row r="431" ht="15.75" customHeight="1">
      <c r="B431" s="173"/>
      <c r="F431" s="108"/>
      <c r="G431" s="112"/>
      <c r="I431" s="110"/>
      <c r="K431" s="110"/>
    </row>
    <row r="432" ht="15.75" customHeight="1">
      <c r="B432" s="173"/>
      <c r="F432" s="108"/>
      <c r="G432" s="112"/>
      <c r="I432" s="110"/>
      <c r="K432" s="110"/>
    </row>
    <row r="433" ht="15.75" customHeight="1">
      <c r="B433" s="173"/>
      <c r="F433" s="108"/>
      <c r="G433" s="112"/>
      <c r="I433" s="110"/>
      <c r="K433" s="110"/>
    </row>
    <row r="434" ht="15.75" customHeight="1">
      <c r="B434" s="173"/>
      <c r="F434" s="108"/>
      <c r="G434" s="112"/>
      <c r="I434" s="110"/>
      <c r="K434" s="110"/>
    </row>
    <row r="435" ht="15.75" customHeight="1">
      <c r="B435" s="173"/>
      <c r="F435" s="108"/>
      <c r="G435" s="112"/>
      <c r="I435" s="110"/>
      <c r="K435" s="110"/>
    </row>
    <row r="436" ht="15.75" customHeight="1">
      <c r="B436" s="173"/>
      <c r="F436" s="108"/>
      <c r="G436" s="112"/>
      <c r="I436" s="110"/>
      <c r="K436" s="110"/>
    </row>
    <row r="437" ht="15.75" customHeight="1">
      <c r="B437" s="173"/>
      <c r="F437" s="108"/>
      <c r="G437" s="112"/>
      <c r="I437" s="110"/>
      <c r="K437" s="110"/>
    </row>
    <row r="438" ht="15.75" customHeight="1">
      <c r="B438" s="173"/>
      <c r="F438" s="108"/>
      <c r="G438" s="112"/>
      <c r="I438" s="110"/>
      <c r="K438" s="110"/>
    </row>
    <row r="439" ht="15.75" customHeight="1">
      <c r="B439" s="173"/>
      <c r="F439" s="108"/>
      <c r="G439" s="112"/>
      <c r="I439" s="110"/>
      <c r="K439" s="110"/>
    </row>
    <row r="440" ht="15.75" customHeight="1">
      <c r="B440" s="173"/>
      <c r="F440" s="108"/>
      <c r="G440" s="112"/>
      <c r="I440" s="110"/>
      <c r="K440" s="110"/>
    </row>
    <row r="441" ht="15.75" customHeight="1">
      <c r="B441" s="173"/>
      <c r="F441" s="108"/>
      <c r="G441" s="112"/>
      <c r="I441" s="110"/>
      <c r="K441" s="110"/>
    </row>
    <row r="442" ht="15.75" customHeight="1">
      <c r="B442" s="173"/>
      <c r="F442" s="108"/>
      <c r="G442" s="112"/>
      <c r="I442" s="110"/>
      <c r="K442" s="110"/>
    </row>
    <row r="443" ht="15.75" customHeight="1">
      <c r="B443" s="173"/>
      <c r="F443" s="108"/>
      <c r="G443" s="112"/>
      <c r="I443" s="110"/>
      <c r="K443" s="110"/>
    </row>
    <row r="444" ht="15.75" customHeight="1">
      <c r="B444" s="173"/>
      <c r="F444" s="108"/>
      <c r="G444" s="112"/>
      <c r="I444" s="110"/>
      <c r="K444" s="110"/>
    </row>
    <row r="445" ht="15.75" customHeight="1">
      <c r="B445" s="173"/>
      <c r="F445" s="108"/>
      <c r="G445" s="112"/>
      <c r="I445" s="110"/>
      <c r="K445" s="110"/>
    </row>
    <row r="446" ht="15.75" customHeight="1">
      <c r="B446" s="173"/>
      <c r="F446" s="108"/>
      <c r="G446" s="112"/>
      <c r="I446" s="110"/>
      <c r="K446" s="110"/>
    </row>
    <row r="447" ht="15.75" customHeight="1">
      <c r="B447" s="173"/>
      <c r="F447" s="108"/>
      <c r="G447" s="112"/>
      <c r="I447" s="110"/>
      <c r="K447" s="110"/>
    </row>
    <row r="448" ht="15.75" customHeight="1">
      <c r="B448" s="173"/>
      <c r="F448" s="108"/>
      <c r="G448" s="112"/>
      <c r="I448" s="110"/>
      <c r="K448" s="110"/>
    </row>
    <row r="449" ht="15.75" customHeight="1">
      <c r="B449" s="173"/>
      <c r="F449" s="108"/>
      <c r="G449" s="112"/>
      <c r="I449" s="110"/>
      <c r="K449" s="110"/>
    </row>
    <row r="450" ht="15.75" customHeight="1">
      <c r="B450" s="173"/>
      <c r="F450" s="108"/>
      <c r="G450" s="112"/>
      <c r="I450" s="110"/>
      <c r="K450" s="110"/>
    </row>
    <row r="451" ht="15.75" customHeight="1">
      <c r="B451" s="173"/>
      <c r="F451" s="108"/>
      <c r="G451" s="112"/>
      <c r="I451" s="110"/>
      <c r="K451" s="110"/>
    </row>
    <row r="452" ht="15.75" customHeight="1">
      <c r="B452" s="173"/>
      <c r="F452" s="108"/>
      <c r="G452" s="112"/>
      <c r="I452" s="110"/>
      <c r="K452" s="110"/>
    </row>
    <row r="453" ht="15.75" customHeight="1">
      <c r="B453" s="173"/>
      <c r="F453" s="108"/>
      <c r="G453" s="112"/>
      <c r="I453" s="110"/>
      <c r="K453" s="110"/>
    </row>
    <row r="454" ht="15.75" customHeight="1">
      <c r="B454" s="173"/>
      <c r="F454" s="108"/>
      <c r="G454" s="112"/>
      <c r="I454" s="110"/>
      <c r="K454" s="110"/>
    </row>
    <row r="455" ht="15.75" customHeight="1">
      <c r="B455" s="173"/>
      <c r="F455" s="108"/>
      <c r="G455" s="112"/>
      <c r="I455" s="110"/>
      <c r="K455" s="110"/>
    </row>
    <row r="456" ht="15.75" customHeight="1">
      <c r="B456" s="173"/>
      <c r="F456" s="108"/>
      <c r="G456" s="112"/>
      <c r="I456" s="110"/>
      <c r="K456" s="110"/>
    </row>
    <row r="457" ht="15.75" customHeight="1">
      <c r="B457" s="173"/>
      <c r="F457" s="108"/>
      <c r="G457" s="112"/>
      <c r="I457" s="110"/>
      <c r="K457" s="110"/>
    </row>
    <row r="458" ht="15.75" customHeight="1">
      <c r="B458" s="173"/>
      <c r="F458" s="108"/>
      <c r="G458" s="112"/>
      <c r="I458" s="110"/>
      <c r="K458" s="110"/>
    </row>
    <row r="459" ht="15.75" customHeight="1">
      <c r="B459" s="173"/>
      <c r="F459" s="108"/>
      <c r="G459" s="112"/>
      <c r="I459" s="110"/>
      <c r="K459" s="110"/>
    </row>
    <row r="460" ht="15.75" customHeight="1">
      <c r="B460" s="173"/>
      <c r="F460" s="108"/>
      <c r="G460" s="112"/>
      <c r="I460" s="110"/>
      <c r="K460" s="110"/>
    </row>
    <row r="461" ht="15.75" customHeight="1">
      <c r="B461" s="173"/>
      <c r="F461" s="108"/>
      <c r="G461" s="112"/>
      <c r="I461" s="110"/>
      <c r="K461" s="110"/>
    </row>
    <row r="462" ht="15.75" customHeight="1">
      <c r="B462" s="173"/>
      <c r="F462" s="108"/>
      <c r="G462" s="112"/>
      <c r="I462" s="110"/>
      <c r="K462" s="110"/>
    </row>
    <row r="463" ht="15.75" customHeight="1">
      <c r="B463" s="173"/>
      <c r="F463" s="108"/>
      <c r="G463" s="112"/>
      <c r="I463" s="110"/>
      <c r="K463" s="110"/>
    </row>
    <row r="464" ht="15.75" customHeight="1">
      <c r="B464" s="173"/>
      <c r="F464" s="108"/>
      <c r="G464" s="112"/>
      <c r="I464" s="110"/>
      <c r="K464" s="110"/>
    </row>
    <row r="465" ht="15.75" customHeight="1">
      <c r="B465" s="173"/>
      <c r="F465" s="108"/>
      <c r="G465" s="112"/>
      <c r="I465" s="110"/>
      <c r="K465" s="110"/>
    </row>
    <row r="466" ht="15.75" customHeight="1">
      <c r="B466" s="173"/>
      <c r="F466" s="108"/>
      <c r="G466" s="112"/>
      <c r="I466" s="110"/>
      <c r="K466" s="110"/>
    </row>
    <row r="467" ht="15.75" customHeight="1">
      <c r="B467" s="173"/>
      <c r="F467" s="108"/>
      <c r="G467" s="112"/>
      <c r="I467" s="110"/>
      <c r="K467" s="110"/>
    </row>
    <row r="468" ht="15.75" customHeight="1">
      <c r="B468" s="173"/>
      <c r="F468" s="108"/>
      <c r="G468" s="112"/>
      <c r="I468" s="110"/>
      <c r="K468" s="110"/>
    </row>
    <row r="469" ht="15.75" customHeight="1">
      <c r="B469" s="173"/>
      <c r="F469" s="108"/>
      <c r="G469" s="112"/>
      <c r="I469" s="110"/>
      <c r="K469" s="110"/>
    </row>
    <row r="470" ht="15.75" customHeight="1">
      <c r="B470" s="173"/>
      <c r="F470" s="108"/>
      <c r="G470" s="112"/>
      <c r="I470" s="110"/>
      <c r="K470" s="110"/>
    </row>
    <row r="471" ht="15.75" customHeight="1">
      <c r="B471" s="173"/>
      <c r="F471" s="108"/>
      <c r="G471" s="112"/>
      <c r="I471" s="110"/>
      <c r="K471" s="110"/>
    </row>
    <row r="472" ht="15.75" customHeight="1">
      <c r="B472" s="173"/>
      <c r="F472" s="108"/>
      <c r="G472" s="112"/>
      <c r="I472" s="110"/>
      <c r="K472" s="110"/>
    </row>
    <row r="473" ht="15.75" customHeight="1">
      <c r="B473" s="173"/>
      <c r="F473" s="108"/>
      <c r="G473" s="112"/>
      <c r="I473" s="110"/>
      <c r="K473" s="110"/>
    </row>
    <row r="474" ht="15.75" customHeight="1">
      <c r="B474" s="173"/>
      <c r="F474" s="108"/>
      <c r="G474" s="112"/>
      <c r="I474" s="110"/>
      <c r="K474" s="110"/>
    </row>
    <row r="475" ht="15.75" customHeight="1">
      <c r="B475" s="173"/>
      <c r="F475" s="108"/>
      <c r="G475" s="112"/>
      <c r="I475" s="110"/>
      <c r="K475" s="110"/>
    </row>
    <row r="476" ht="15.75" customHeight="1">
      <c r="B476" s="173"/>
      <c r="F476" s="108"/>
      <c r="G476" s="112"/>
      <c r="I476" s="110"/>
      <c r="K476" s="110"/>
    </row>
    <row r="477" ht="15.75" customHeight="1">
      <c r="B477" s="173"/>
      <c r="F477" s="108"/>
      <c r="G477" s="112"/>
      <c r="I477" s="110"/>
      <c r="K477" s="110"/>
    </row>
    <row r="478" ht="15.75" customHeight="1">
      <c r="B478" s="173"/>
      <c r="F478" s="108"/>
      <c r="G478" s="112"/>
      <c r="I478" s="110"/>
      <c r="K478" s="110"/>
    </row>
    <row r="479" ht="15.75" customHeight="1">
      <c r="B479" s="173"/>
      <c r="F479" s="108"/>
      <c r="G479" s="112"/>
      <c r="I479" s="110"/>
      <c r="K479" s="110"/>
    </row>
    <row r="480" ht="15.75" customHeight="1">
      <c r="B480" s="173"/>
      <c r="F480" s="108"/>
      <c r="G480" s="112"/>
      <c r="I480" s="110"/>
      <c r="K480" s="110"/>
    </row>
    <row r="481" ht="15.75" customHeight="1">
      <c r="B481" s="173"/>
      <c r="F481" s="108"/>
      <c r="G481" s="112"/>
      <c r="I481" s="110"/>
      <c r="K481" s="110"/>
    </row>
    <row r="482" ht="15.75" customHeight="1">
      <c r="B482" s="173"/>
      <c r="F482" s="108"/>
      <c r="G482" s="112"/>
      <c r="I482" s="110"/>
      <c r="K482" s="110"/>
    </row>
    <row r="483" ht="15.75" customHeight="1">
      <c r="B483" s="173"/>
      <c r="F483" s="108"/>
      <c r="G483" s="112"/>
      <c r="I483" s="110"/>
      <c r="K483" s="110"/>
    </row>
    <row r="484" ht="15.75" customHeight="1">
      <c r="B484" s="173"/>
      <c r="F484" s="108"/>
      <c r="G484" s="112"/>
      <c r="I484" s="110"/>
      <c r="K484" s="110"/>
    </row>
    <row r="485" ht="15.75" customHeight="1">
      <c r="B485" s="173"/>
      <c r="F485" s="108"/>
      <c r="G485" s="112"/>
      <c r="I485" s="110"/>
      <c r="K485" s="110"/>
    </row>
    <row r="486" ht="15.75" customHeight="1">
      <c r="B486" s="173"/>
      <c r="F486" s="108"/>
      <c r="G486" s="112"/>
      <c r="I486" s="110"/>
      <c r="K486" s="110"/>
    </row>
    <row r="487" ht="15.75" customHeight="1">
      <c r="B487" s="173"/>
      <c r="F487" s="108"/>
      <c r="G487" s="112"/>
      <c r="I487" s="110"/>
      <c r="K487" s="110"/>
    </row>
    <row r="488" ht="15.75" customHeight="1">
      <c r="B488" s="173"/>
      <c r="F488" s="108"/>
      <c r="G488" s="112"/>
      <c r="I488" s="110"/>
      <c r="K488" s="110"/>
    </row>
    <row r="489" ht="15.75" customHeight="1">
      <c r="B489" s="173"/>
      <c r="F489" s="108"/>
      <c r="G489" s="112"/>
      <c r="I489" s="110"/>
      <c r="K489" s="110"/>
    </row>
    <row r="490" ht="15.75" customHeight="1">
      <c r="B490" s="173"/>
      <c r="F490" s="108"/>
      <c r="G490" s="112"/>
      <c r="I490" s="110"/>
      <c r="K490" s="110"/>
    </row>
    <row r="491" ht="15.75" customHeight="1">
      <c r="B491" s="173"/>
      <c r="F491" s="108"/>
      <c r="G491" s="112"/>
      <c r="I491" s="110"/>
      <c r="K491" s="110"/>
    </row>
    <row r="492" ht="15.75" customHeight="1">
      <c r="B492" s="173"/>
      <c r="F492" s="108"/>
      <c r="G492" s="112"/>
      <c r="I492" s="110"/>
      <c r="K492" s="110"/>
    </row>
    <row r="493" ht="15.75" customHeight="1">
      <c r="B493" s="173"/>
      <c r="F493" s="108"/>
      <c r="G493" s="112"/>
      <c r="I493" s="110"/>
      <c r="K493" s="110"/>
    </row>
    <row r="494" ht="15.75" customHeight="1">
      <c r="B494" s="173"/>
      <c r="F494" s="108"/>
      <c r="G494" s="112"/>
      <c r="I494" s="110"/>
      <c r="K494" s="110"/>
    </row>
    <row r="495" ht="15.75" customHeight="1">
      <c r="B495" s="173"/>
      <c r="F495" s="108"/>
      <c r="G495" s="112"/>
      <c r="I495" s="110"/>
      <c r="K495" s="110"/>
    </row>
    <row r="496" ht="15.75" customHeight="1">
      <c r="B496" s="173"/>
      <c r="F496" s="108"/>
      <c r="G496" s="112"/>
      <c r="I496" s="110"/>
      <c r="K496" s="110"/>
    </row>
    <row r="497" ht="15.75" customHeight="1">
      <c r="B497" s="173"/>
      <c r="F497" s="108"/>
      <c r="G497" s="112"/>
      <c r="I497" s="110"/>
      <c r="K497" s="110"/>
    </row>
    <row r="498" ht="15.75" customHeight="1">
      <c r="B498" s="173"/>
      <c r="F498" s="108"/>
      <c r="G498" s="112"/>
      <c r="I498" s="110"/>
      <c r="K498" s="110"/>
    </row>
    <row r="499" ht="15.75" customHeight="1">
      <c r="B499" s="173"/>
      <c r="F499" s="108"/>
      <c r="G499" s="112"/>
      <c r="I499" s="110"/>
      <c r="K499" s="110"/>
    </row>
    <row r="500" ht="15.75" customHeight="1">
      <c r="B500" s="173"/>
      <c r="F500" s="108"/>
      <c r="G500" s="112"/>
      <c r="I500" s="110"/>
      <c r="K500" s="110"/>
    </row>
    <row r="501" ht="15.75" customHeight="1">
      <c r="B501" s="173"/>
      <c r="F501" s="108"/>
      <c r="G501" s="112"/>
      <c r="I501" s="110"/>
      <c r="K501" s="110"/>
    </row>
    <row r="502" ht="15.75" customHeight="1">
      <c r="B502" s="173"/>
      <c r="F502" s="108"/>
      <c r="G502" s="112"/>
      <c r="I502" s="110"/>
      <c r="K502" s="110"/>
    </row>
    <row r="503" ht="15.75" customHeight="1">
      <c r="B503" s="173"/>
      <c r="F503" s="108"/>
      <c r="G503" s="112"/>
      <c r="I503" s="110"/>
      <c r="K503" s="110"/>
    </row>
    <row r="504" ht="15.75" customHeight="1">
      <c r="B504" s="173"/>
      <c r="F504" s="108"/>
      <c r="G504" s="112"/>
      <c r="I504" s="110"/>
      <c r="K504" s="110"/>
    </row>
    <row r="505" ht="15.75" customHeight="1">
      <c r="B505" s="173"/>
      <c r="F505" s="108"/>
      <c r="G505" s="112"/>
      <c r="I505" s="110"/>
      <c r="K505" s="110"/>
    </row>
    <row r="506" ht="15.75" customHeight="1">
      <c r="B506" s="173"/>
      <c r="F506" s="108"/>
      <c r="G506" s="112"/>
      <c r="I506" s="110"/>
      <c r="K506" s="110"/>
    </row>
    <row r="507" ht="15.75" customHeight="1">
      <c r="B507" s="173"/>
      <c r="F507" s="108"/>
      <c r="G507" s="112"/>
      <c r="I507" s="110"/>
      <c r="K507" s="110"/>
    </row>
    <row r="508" ht="15.75" customHeight="1">
      <c r="B508" s="173"/>
      <c r="F508" s="108"/>
      <c r="G508" s="112"/>
      <c r="I508" s="110"/>
      <c r="K508" s="110"/>
    </row>
    <row r="509" ht="15.75" customHeight="1">
      <c r="B509" s="173"/>
      <c r="F509" s="108"/>
      <c r="G509" s="112"/>
      <c r="I509" s="110"/>
      <c r="K509" s="110"/>
    </row>
    <row r="510" ht="15.75" customHeight="1">
      <c r="B510" s="173"/>
      <c r="F510" s="108"/>
      <c r="G510" s="112"/>
      <c r="I510" s="110"/>
      <c r="K510" s="110"/>
    </row>
    <row r="511" ht="15.75" customHeight="1">
      <c r="B511" s="173"/>
      <c r="F511" s="108"/>
      <c r="G511" s="112"/>
      <c r="I511" s="110"/>
      <c r="K511" s="110"/>
    </row>
    <row r="512" ht="15.75" customHeight="1">
      <c r="B512" s="173"/>
      <c r="F512" s="108"/>
      <c r="G512" s="112"/>
      <c r="I512" s="110"/>
      <c r="K512" s="110"/>
    </row>
    <row r="513" ht="15.75" customHeight="1">
      <c r="B513" s="173"/>
      <c r="F513" s="108"/>
      <c r="G513" s="112"/>
      <c r="I513" s="110"/>
      <c r="K513" s="110"/>
    </row>
    <row r="514" ht="15.75" customHeight="1">
      <c r="B514" s="173"/>
      <c r="F514" s="108"/>
      <c r="G514" s="112"/>
      <c r="I514" s="110"/>
      <c r="K514" s="110"/>
    </row>
    <row r="515" ht="15.75" customHeight="1">
      <c r="B515" s="173"/>
      <c r="F515" s="108"/>
      <c r="G515" s="112"/>
      <c r="I515" s="110"/>
      <c r="K515" s="110"/>
    </row>
    <row r="516" ht="15.75" customHeight="1">
      <c r="B516" s="173"/>
      <c r="F516" s="108"/>
      <c r="G516" s="112"/>
      <c r="I516" s="110"/>
      <c r="K516" s="110"/>
    </row>
    <row r="517" ht="15.75" customHeight="1">
      <c r="B517" s="173"/>
      <c r="F517" s="108"/>
      <c r="G517" s="112"/>
      <c r="I517" s="110"/>
      <c r="K517" s="110"/>
    </row>
    <row r="518" ht="15.75" customHeight="1">
      <c r="B518" s="173"/>
      <c r="F518" s="108"/>
      <c r="G518" s="112"/>
      <c r="I518" s="110"/>
      <c r="K518" s="110"/>
    </row>
    <row r="519" ht="15.75" customHeight="1">
      <c r="B519" s="173"/>
      <c r="F519" s="108"/>
      <c r="G519" s="112"/>
      <c r="I519" s="110"/>
      <c r="K519" s="110"/>
    </row>
    <row r="520" ht="15.75" customHeight="1">
      <c r="B520" s="173"/>
      <c r="F520" s="108"/>
      <c r="G520" s="112"/>
      <c r="I520" s="110"/>
      <c r="K520" s="110"/>
    </row>
    <row r="521" ht="15.75" customHeight="1">
      <c r="B521" s="173"/>
      <c r="F521" s="108"/>
      <c r="G521" s="112"/>
      <c r="I521" s="110"/>
      <c r="K521" s="110"/>
    </row>
    <row r="522" ht="15.75" customHeight="1">
      <c r="B522" s="173"/>
      <c r="F522" s="108"/>
      <c r="G522" s="112"/>
      <c r="I522" s="110"/>
      <c r="K522" s="110"/>
    </row>
    <row r="523" ht="15.75" customHeight="1">
      <c r="B523" s="173"/>
      <c r="F523" s="108"/>
      <c r="G523" s="112"/>
      <c r="I523" s="110"/>
      <c r="K523" s="110"/>
    </row>
    <row r="524" ht="15.75" customHeight="1">
      <c r="B524" s="173"/>
      <c r="F524" s="108"/>
      <c r="G524" s="112"/>
      <c r="I524" s="110"/>
      <c r="K524" s="110"/>
    </row>
    <row r="525" ht="15.75" customHeight="1">
      <c r="B525" s="173"/>
      <c r="F525" s="108"/>
      <c r="G525" s="112"/>
      <c r="I525" s="110"/>
      <c r="K525" s="110"/>
    </row>
    <row r="526" ht="15.75" customHeight="1">
      <c r="B526" s="173"/>
      <c r="F526" s="108"/>
      <c r="G526" s="112"/>
      <c r="I526" s="110"/>
      <c r="K526" s="110"/>
    </row>
    <row r="527" ht="15.75" customHeight="1">
      <c r="B527" s="173"/>
      <c r="F527" s="108"/>
      <c r="G527" s="112"/>
      <c r="I527" s="110"/>
      <c r="K527" s="110"/>
    </row>
    <row r="528" ht="15.75" customHeight="1">
      <c r="B528" s="173"/>
      <c r="F528" s="108"/>
      <c r="G528" s="112"/>
      <c r="I528" s="110"/>
      <c r="K528" s="110"/>
    </row>
    <row r="529" ht="15.75" customHeight="1">
      <c r="B529" s="173"/>
      <c r="F529" s="108"/>
      <c r="G529" s="112"/>
      <c r="I529" s="110"/>
      <c r="K529" s="110"/>
    </row>
    <row r="530" ht="15.75" customHeight="1">
      <c r="B530" s="173"/>
      <c r="F530" s="108"/>
      <c r="G530" s="112"/>
      <c r="I530" s="110"/>
      <c r="K530" s="110"/>
    </row>
    <row r="531" ht="15.75" customHeight="1">
      <c r="B531" s="173"/>
      <c r="F531" s="108"/>
      <c r="G531" s="112"/>
      <c r="I531" s="110"/>
      <c r="K531" s="110"/>
    </row>
    <row r="532" ht="15.75" customHeight="1">
      <c r="B532" s="173"/>
      <c r="F532" s="108"/>
      <c r="G532" s="112"/>
      <c r="I532" s="110"/>
      <c r="K532" s="110"/>
    </row>
    <row r="533" ht="15.75" customHeight="1">
      <c r="B533" s="173"/>
      <c r="F533" s="108"/>
      <c r="G533" s="112"/>
      <c r="I533" s="110"/>
      <c r="K533" s="110"/>
    </row>
    <row r="534" ht="15.75" customHeight="1">
      <c r="B534" s="173"/>
      <c r="F534" s="108"/>
      <c r="G534" s="112"/>
      <c r="I534" s="110"/>
      <c r="K534" s="110"/>
    </row>
    <row r="535" ht="15.75" customHeight="1">
      <c r="B535" s="173"/>
      <c r="F535" s="108"/>
      <c r="G535" s="112"/>
      <c r="I535" s="110"/>
      <c r="K535" s="110"/>
    </row>
    <row r="536" ht="15.75" customHeight="1">
      <c r="B536" s="173"/>
      <c r="F536" s="108"/>
      <c r="G536" s="112"/>
      <c r="I536" s="110"/>
      <c r="K536" s="110"/>
    </row>
    <row r="537" ht="15.75" customHeight="1">
      <c r="B537" s="173"/>
      <c r="F537" s="108"/>
      <c r="G537" s="112"/>
      <c r="I537" s="110"/>
      <c r="K537" s="110"/>
    </row>
    <row r="538" ht="15.75" customHeight="1">
      <c r="B538" s="173"/>
      <c r="F538" s="108"/>
      <c r="G538" s="112"/>
      <c r="I538" s="110"/>
      <c r="K538" s="110"/>
    </row>
    <row r="539" ht="15.75" customHeight="1">
      <c r="B539" s="173"/>
      <c r="F539" s="108"/>
      <c r="G539" s="112"/>
      <c r="I539" s="110"/>
      <c r="K539" s="110"/>
    </row>
    <row r="540" ht="15.75" customHeight="1">
      <c r="B540" s="173"/>
      <c r="F540" s="108"/>
      <c r="G540" s="112"/>
      <c r="I540" s="110"/>
      <c r="K540" s="110"/>
    </row>
    <row r="541" ht="15.75" customHeight="1">
      <c r="B541" s="173"/>
      <c r="F541" s="108"/>
      <c r="G541" s="112"/>
      <c r="I541" s="110"/>
      <c r="K541" s="110"/>
    </row>
    <row r="542" ht="15.75" customHeight="1">
      <c r="B542" s="173"/>
      <c r="F542" s="108"/>
      <c r="G542" s="112"/>
      <c r="I542" s="110"/>
      <c r="K542" s="110"/>
    </row>
    <row r="543" ht="15.75" customHeight="1">
      <c r="B543" s="173"/>
      <c r="F543" s="108"/>
      <c r="G543" s="112"/>
      <c r="I543" s="110"/>
      <c r="K543" s="110"/>
    </row>
    <row r="544" ht="15.75" customHeight="1">
      <c r="B544" s="173"/>
      <c r="F544" s="108"/>
      <c r="G544" s="112"/>
      <c r="I544" s="110"/>
      <c r="K544" s="110"/>
    </row>
    <row r="545" ht="15.75" customHeight="1">
      <c r="B545" s="173"/>
      <c r="F545" s="108"/>
      <c r="G545" s="112"/>
      <c r="I545" s="110"/>
      <c r="K545" s="110"/>
    </row>
    <row r="546" ht="15.75" customHeight="1">
      <c r="B546" s="173"/>
      <c r="F546" s="108"/>
      <c r="G546" s="112"/>
      <c r="I546" s="110"/>
      <c r="K546" s="110"/>
    </row>
    <row r="547" ht="15.75" customHeight="1">
      <c r="B547" s="173"/>
      <c r="F547" s="108"/>
      <c r="G547" s="112"/>
      <c r="I547" s="110"/>
      <c r="K547" s="110"/>
    </row>
    <row r="548" ht="15.75" customHeight="1">
      <c r="B548" s="173"/>
      <c r="F548" s="108"/>
      <c r="G548" s="112"/>
      <c r="I548" s="110"/>
      <c r="K548" s="110"/>
    </row>
    <row r="549" ht="15.75" customHeight="1">
      <c r="B549" s="173"/>
      <c r="F549" s="108"/>
      <c r="G549" s="112"/>
      <c r="I549" s="110"/>
      <c r="K549" s="110"/>
    </row>
    <row r="550" ht="15.75" customHeight="1">
      <c r="B550" s="173"/>
      <c r="F550" s="108"/>
      <c r="G550" s="112"/>
      <c r="I550" s="110"/>
      <c r="K550" s="110"/>
    </row>
    <row r="551" ht="15.75" customHeight="1">
      <c r="B551" s="173"/>
      <c r="F551" s="108"/>
      <c r="G551" s="112"/>
      <c r="I551" s="110"/>
      <c r="K551" s="110"/>
    </row>
    <row r="552" ht="15.75" customHeight="1">
      <c r="B552" s="173"/>
      <c r="F552" s="108"/>
      <c r="G552" s="112"/>
      <c r="I552" s="110"/>
      <c r="K552" s="110"/>
    </row>
    <row r="553" ht="15.75" customHeight="1">
      <c r="B553" s="173"/>
      <c r="F553" s="108"/>
      <c r="G553" s="112"/>
      <c r="I553" s="110"/>
      <c r="K553" s="110"/>
    </row>
    <row r="554" ht="15.75" customHeight="1">
      <c r="B554" s="173"/>
      <c r="F554" s="108"/>
      <c r="G554" s="112"/>
      <c r="I554" s="110"/>
      <c r="K554" s="110"/>
    </row>
    <row r="555" ht="15.75" customHeight="1">
      <c r="B555" s="173"/>
      <c r="F555" s="108"/>
      <c r="G555" s="112"/>
      <c r="I555" s="110"/>
      <c r="K555" s="110"/>
    </row>
    <row r="556" ht="15.75" customHeight="1">
      <c r="B556" s="173"/>
      <c r="F556" s="108"/>
      <c r="G556" s="112"/>
      <c r="I556" s="110"/>
      <c r="K556" s="110"/>
    </row>
    <row r="557" ht="15.75" customHeight="1">
      <c r="B557" s="173"/>
      <c r="F557" s="108"/>
      <c r="G557" s="112"/>
      <c r="I557" s="110"/>
      <c r="K557" s="110"/>
    </row>
    <row r="558" ht="15.75" customHeight="1">
      <c r="B558" s="173"/>
      <c r="F558" s="108"/>
      <c r="G558" s="112"/>
      <c r="I558" s="110"/>
      <c r="K558" s="110"/>
    </row>
    <row r="559" ht="15.75" customHeight="1">
      <c r="B559" s="173"/>
      <c r="F559" s="108"/>
      <c r="G559" s="112"/>
      <c r="I559" s="110"/>
      <c r="K559" s="110"/>
    </row>
    <row r="560" ht="15.75" customHeight="1">
      <c r="B560" s="173"/>
      <c r="F560" s="108"/>
      <c r="G560" s="112"/>
      <c r="I560" s="110"/>
      <c r="K560" s="110"/>
    </row>
    <row r="561" ht="15.75" customHeight="1">
      <c r="B561" s="173"/>
      <c r="F561" s="108"/>
      <c r="G561" s="112"/>
      <c r="I561" s="110"/>
      <c r="K561" s="110"/>
    </row>
    <row r="562" ht="15.75" customHeight="1">
      <c r="B562" s="173"/>
      <c r="F562" s="108"/>
      <c r="G562" s="112"/>
      <c r="I562" s="110"/>
      <c r="K562" s="110"/>
    </row>
    <row r="563" ht="15.75" customHeight="1">
      <c r="B563" s="173"/>
      <c r="F563" s="108"/>
      <c r="G563" s="112"/>
      <c r="I563" s="110"/>
      <c r="K563" s="110"/>
    </row>
    <row r="564" ht="15.75" customHeight="1">
      <c r="B564" s="173"/>
      <c r="F564" s="108"/>
      <c r="G564" s="112"/>
      <c r="I564" s="110"/>
      <c r="K564" s="110"/>
    </row>
    <row r="565" ht="15.75" customHeight="1">
      <c r="B565" s="173"/>
      <c r="F565" s="108"/>
      <c r="G565" s="112"/>
      <c r="I565" s="110"/>
      <c r="K565" s="110"/>
    </row>
    <row r="566" ht="15.75" customHeight="1">
      <c r="B566" s="173"/>
      <c r="F566" s="108"/>
      <c r="G566" s="112"/>
      <c r="I566" s="110"/>
      <c r="K566" s="110"/>
    </row>
    <row r="567" ht="15.75" customHeight="1">
      <c r="B567" s="173"/>
      <c r="F567" s="108"/>
      <c r="G567" s="112"/>
      <c r="I567" s="110"/>
      <c r="K567" s="110"/>
    </row>
    <row r="568" ht="15.75" customHeight="1">
      <c r="B568" s="173"/>
      <c r="F568" s="108"/>
      <c r="G568" s="112"/>
      <c r="I568" s="110"/>
      <c r="K568" s="110"/>
    </row>
    <row r="569" ht="15.75" customHeight="1">
      <c r="B569" s="173"/>
      <c r="F569" s="108"/>
      <c r="G569" s="112"/>
      <c r="I569" s="110"/>
      <c r="K569" s="110"/>
    </row>
    <row r="570" ht="15.75" customHeight="1">
      <c r="B570" s="173"/>
      <c r="F570" s="108"/>
      <c r="G570" s="112"/>
      <c r="I570" s="110"/>
      <c r="K570" s="110"/>
    </row>
    <row r="571" ht="15.75" customHeight="1">
      <c r="B571" s="173"/>
      <c r="F571" s="108"/>
      <c r="G571" s="112"/>
      <c r="I571" s="110"/>
      <c r="K571" s="110"/>
    </row>
    <row r="572" ht="15.75" customHeight="1">
      <c r="B572" s="173"/>
      <c r="F572" s="108"/>
      <c r="G572" s="112"/>
      <c r="I572" s="110"/>
      <c r="K572" s="110"/>
    </row>
    <row r="573" ht="15.75" customHeight="1">
      <c r="B573" s="173"/>
      <c r="F573" s="108"/>
      <c r="G573" s="112"/>
      <c r="I573" s="110"/>
      <c r="K573" s="110"/>
    </row>
    <row r="574" ht="15.75" customHeight="1">
      <c r="B574" s="173"/>
      <c r="F574" s="108"/>
      <c r="G574" s="112"/>
      <c r="I574" s="110"/>
      <c r="K574" s="110"/>
    </row>
    <row r="575" ht="15.75" customHeight="1">
      <c r="B575" s="173"/>
      <c r="F575" s="108"/>
      <c r="G575" s="112"/>
      <c r="I575" s="110"/>
      <c r="K575" s="110"/>
    </row>
    <row r="576" ht="15.75" customHeight="1">
      <c r="B576" s="173"/>
      <c r="F576" s="108"/>
      <c r="G576" s="112"/>
      <c r="I576" s="110"/>
      <c r="K576" s="110"/>
    </row>
    <row r="577" ht="15.75" customHeight="1">
      <c r="B577" s="173"/>
      <c r="F577" s="108"/>
      <c r="G577" s="112"/>
      <c r="I577" s="110"/>
      <c r="K577" s="110"/>
    </row>
    <row r="578" ht="15.75" customHeight="1">
      <c r="B578" s="173"/>
      <c r="F578" s="108"/>
      <c r="G578" s="112"/>
      <c r="I578" s="110"/>
      <c r="K578" s="110"/>
    </row>
    <row r="579" ht="15.75" customHeight="1">
      <c r="B579" s="173"/>
      <c r="F579" s="108"/>
      <c r="G579" s="112"/>
      <c r="I579" s="110"/>
      <c r="K579" s="110"/>
    </row>
    <row r="580" ht="15.75" customHeight="1">
      <c r="B580" s="173"/>
      <c r="F580" s="108"/>
      <c r="G580" s="112"/>
      <c r="I580" s="110"/>
      <c r="K580" s="110"/>
    </row>
    <row r="581" ht="15.75" customHeight="1">
      <c r="B581" s="173"/>
      <c r="F581" s="108"/>
      <c r="G581" s="112"/>
      <c r="I581" s="110"/>
      <c r="K581" s="110"/>
    </row>
    <row r="582" ht="15.75" customHeight="1">
      <c r="B582" s="173"/>
      <c r="F582" s="108"/>
      <c r="G582" s="112"/>
      <c r="I582" s="110"/>
      <c r="K582" s="110"/>
    </row>
    <row r="583" ht="15.75" customHeight="1">
      <c r="B583" s="173"/>
      <c r="F583" s="108"/>
      <c r="G583" s="112"/>
      <c r="I583" s="110"/>
      <c r="K583" s="110"/>
    </row>
    <row r="584" ht="15.75" customHeight="1">
      <c r="B584" s="173"/>
      <c r="F584" s="108"/>
      <c r="G584" s="112"/>
      <c r="I584" s="110"/>
      <c r="K584" s="110"/>
    </row>
    <row r="585" ht="15.75" customHeight="1">
      <c r="B585" s="173"/>
      <c r="F585" s="108"/>
      <c r="G585" s="112"/>
      <c r="I585" s="110"/>
      <c r="K585" s="110"/>
    </row>
    <row r="586" ht="15.75" customHeight="1">
      <c r="B586" s="173"/>
      <c r="F586" s="108"/>
      <c r="G586" s="112"/>
      <c r="I586" s="110"/>
      <c r="K586" s="110"/>
    </row>
    <row r="587" ht="15.75" customHeight="1">
      <c r="B587" s="173"/>
      <c r="F587" s="108"/>
      <c r="G587" s="112"/>
      <c r="I587" s="110"/>
      <c r="K587" s="110"/>
    </row>
    <row r="588" ht="15.75" customHeight="1">
      <c r="B588" s="173"/>
      <c r="F588" s="108"/>
      <c r="G588" s="112"/>
      <c r="I588" s="110"/>
      <c r="K588" s="110"/>
    </row>
    <row r="589" ht="15.75" customHeight="1">
      <c r="B589" s="173"/>
      <c r="F589" s="108"/>
      <c r="G589" s="112"/>
      <c r="I589" s="110"/>
      <c r="K589" s="110"/>
    </row>
    <row r="590" ht="15.75" customHeight="1">
      <c r="B590" s="173"/>
      <c r="F590" s="108"/>
      <c r="G590" s="112"/>
      <c r="I590" s="110"/>
      <c r="K590" s="110"/>
    </row>
    <row r="591" ht="15.75" customHeight="1">
      <c r="B591" s="173"/>
      <c r="F591" s="108"/>
      <c r="G591" s="112"/>
      <c r="I591" s="110"/>
      <c r="K591" s="110"/>
    </row>
    <row r="592" ht="15.75" customHeight="1">
      <c r="B592" s="173"/>
      <c r="F592" s="108"/>
      <c r="G592" s="112"/>
      <c r="I592" s="110"/>
      <c r="K592" s="110"/>
    </row>
    <row r="593" ht="15.75" customHeight="1">
      <c r="B593" s="173"/>
      <c r="F593" s="108"/>
      <c r="G593" s="112"/>
      <c r="I593" s="110"/>
      <c r="K593" s="110"/>
    </row>
    <row r="594" ht="15.75" customHeight="1">
      <c r="B594" s="173"/>
      <c r="F594" s="108"/>
      <c r="G594" s="112"/>
      <c r="I594" s="110"/>
      <c r="K594" s="110"/>
    </row>
    <row r="595" ht="15.75" customHeight="1">
      <c r="B595" s="173"/>
      <c r="F595" s="108"/>
      <c r="G595" s="112"/>
      <c r="I595" s="110"/>
      <c r="K595" s="110"/>
    </row>
    <row r="596" ht="15.75" customHeight="1">
      <c r="B596" s="173"/>
      <c r="F596" s="108"/>
      <c r="G596" s="112"/>
      <c r="I596" s="110"/>
      <c r="K596" s="110"/>
    </row>
    <row r="597" ht="15.75" customHeight="1">
      <c r="B597" s="173"/>
      <c r="F597" s="108"/>
      <c r="G597" s="112"/>
      <c r="I597" s="110"/>
      <c r="K597" s="110"/>
    </row>
    <row r="598" ht="15.75" customHeight="1">
      <c r="B598" s="173"/>
      <c r="F598" s="108"/>
      <c r="G598" s="112"/>
      <c r="I598" s="110"/>
      <c r="K598" s="110"/>
    </row>
    <row r="599" ht="15.75" customHeight="1">
      <c r="B599" s="173"/>
      <c r="F599" s="108"/>
      <c r="G599" s="112"/>
      <c r="I599" s="110"/>
      <c r="K599" s="110"/>
    </row>
    <row r="600" ht="15.75" customHeight="1">
      <c r="B600" s="173"/>
      <c r="F600" s="108"/>
      <c r="G600" s="112"/>
      <c r="I600" s="110"/>
      <c r="K600" s="110"/>
    </row>
    <row r="601" ht="15.75" customHeight="1">
      <c r="B601" s="173"/>
      <c r="F601" s="108"/>
      <c r="G601" s="112"/>
      <c r="I601" s="110"/>
      <c r="K601" s="110"/>
    </row>
    <row r="602" ht="15.75" customHeight="1">
      <c r="B602" s="173"/>
      <c r="F602" s="108"/>
      <c r="G602" s="112"/>
      <c r="I602" s="110"/>
      <c r="K602" s="110"/>
    </row>
    <row r="603" ht="15.75" customHeight="1">
      <c r="B603" s="173"/>
      <c r="F603" s="108"/>
      <c r="G603" s="112"/>
      <c r="I603" s="110"/>
      <c r="K603" s="110"/>
    </row>
    <row r="604" ht="15.75" customHeight="1">
      <c r="B604" s="173"/>
      <c r="F604" s="108"/>
      <c r="G604" s="112"/>
      <c r="I604" s="110"/>
      <c r="K604" s="110"/>
    </row>
    <row r="605" ht="15.75" customHeight="1">
      <c r="B605" s="173"/>
      <c r="F605" s="108"/>
      <c r="G605" s="112"/>
      <c r="I605" s="110"/>
      <c r="K605" s="110"/>
    </row>
    <row r="606" ht="15.75" customHeight="1">
      <c r="B606" s="173"/>
      <c r="F606" s="108"/>
      <c r="G606" s="112"/>
      <c r="I606" s="110"/>
      <c r="K606" s="110"/>
    </row>
    <row r="607" ht="15.75" customHeight="1">
      <c r="B607" s="173"/>
      <c r="F607" s="108"/>
      <c r="G607" s="112"/>
      <c r="I607" s="110"/>
      <c r="K607" s="110"/>
    </row>
    <row r="608" ht="15.75" customHeight="1">
      <c r="B608" s="173"/>
      <c r="F608" s="108"/>
      <c r="G608" s="112"/>
      <c r="I608" s="110"/>
      <c r="K608" s="110"/>
    </row>
    <row r="609" ht="15.75" customHeight="1">
      <c r="B609" s="173"/>
      <c r="F609" s="108"/>
      <c r="G609" s="112"/>
      <c r="I609" s="110"/>
      <c r="K609" s="110"/>
    </row>
    <row r="610" ht="15.75" customHeight="1">
      <c r="B610" s="173"/>
      <c r="F610" s="108"/>
      <c r="G610" s="112"/>
      <c r="I610" s="110"/>
      <c r="K610" s="110"/>
    </row>
    <row r="611" ht="15.75" customHeight="1">
      <c r="B611" s="173"/>
      <c r="F611" s="108"/>
      <c r="G611" s="112"/>
      <c r="I611" s="110"/>
      <c r="K611" s="110"/>
    </row>
    <row r="612" ht="15.75" customHeight="1">
      <c r="B612" s="173"/>
      <c r="F612" s="108"/>
      <c r="G612" s="112"/>
      <c r="I612" s="110"/>
      <c r="K612" s="110"/>
    </row>
    <row r="613" ht="15.75" customHeight="1">
      <c r="B613" s="173"/>
      <c r="F613" s="108"/>
      <c r="G613" s="112"/>
      <c r="I613" s="110"/>
      <c r="K613" s="110"/>
    </row>
    <row r="614" ht="15.75" customHeight="1">
      <c r="B614" s="173"/>
      <c r="F614" s="108"/>
      <c r="G614" s="112"/>
      <c r="I614" s="110"/>
      <c r="K614" s="110"/>
    </row>
    <row r="615" ht="15.75" customHeight="1">
      <c r="B615" s="173"/>
      <c r="F615" s="108"/>
      <c r="G615" s="112"/>
      <c r="I615" s="110"/>
      <c r="K615" s="110"/>
    </row>
    <row r="616" ht="15.75" customHeight="1">
      <c r="B616" s="173"/>
      <c r="F616" s="108"/>
      <c r="G616" s="112"/>
      <c r="I616" s="110"/>
      <c r="K616" s="110"/>
    </row>
    <row r="617" ht="15.75" customHeight="1">
      <c r="B617" s="173"/>
      <c r="F617" s="108"/>
      <c r="G617" s="112"/>
      <c r="I617" s="110"/>
      <c r="K617" s="110"/>
    </row>
    <row r="618" ht="15.75" customHeight="1">
      <c r="B618" s="173"/>
      <c r="F618" s="108"/>
      <c r="G618" s="112"/>
      <c r="I618" s="110"/>
      <c r="K618" s="110"/>
    </row>
    <row r="619" ht="15.75" customHeight="1">
      <c r="B619" s="173"/>
      <c r="F619" s="108"/>
      <c r="G619" s="112"/>
      <c r="I619" s="110"/>
      <c r="K619" s="110"/>
    </row>
    <row r="620" ht="15.75" customHeight="1">
      <c r="B620" s="173"/>
      <c r="F620" s="108"/>
      <c r="G620" s="112"/>
      <c r="I620" s="110"/>
      <c r="K620" s="110"/>
    </row>
    <row r="621" ht="15.75" customHeight="1">
      <c r="B621" s="173"/>
      <c r="F621" s="108"/>
      <c r="G621" s="112"/>
      <c r="I621" s="110"/>
      <c r="K621" s="110"/>
    </row>
    <row r="622" ht="15.75" customHeight="1">
      <c r="B622" s="173"/>
      <c r="F622" s="108"/>
      <c r="G622" s="112"/>
      <c r="I622" s="110"/>
      <c r="K622" s="110"/>
    </row>
    <row r="623" ht="15.75" customHeight="1">
      <c r="B623" s="173"/>
      <c r="F623" s="108"/>
      <c r="G623" s="112"/>
      <c r="I623" s="110"/>
      <c r="K623" s="110"/>
    </row>
    <row r="624" ht="15.75" customHeight="1">
      <c r="B624" s="173"/>
      <c r="F624" s="108"/>
      <c r="G624" s="112"/>
      <c r="I624" s="110"/>
      <c r="K624" s="110"/>
    </row>
    <row r="625" ht="15.75" customHeight="1">
      <c r="B625" s="173"/>
      <c r="F625" s="108"/>
      <c r="G625" s="112"/>
      <c r="I625" s="110"/>
      <c r="K625" s="110"/>
    </row>
    <row r="626" ht="15.75" customHeight="1">
      <c r="B626" s="173"/>
      <c r="F626" s="108"/>
      <c r="G626" s="112"/>
      <c r="I626" s="110"/>
      <c r="K626" s="110"/>
    </row>
    <row r="627" ht="15.75" customHeight="1">
      <c r="B627" s="173"/>
      <c r="F627" s="108"/>
      <c r="G627" s="112"/>
      <c r="I627" s="110"/>
      <c r="K627" s="110"/>
    </row>
    <row r="628" ht="15.75" customHeight="1">
      <c r="B628" s="173"/>
      <c r="F628" s="108"/>
      <c r="G628" s="112"/>
      <c r="I628" s="110"/>
      <c r="K628" s="110"/>
    </row>
    <row r="629" ht="15.75" customHeight="1">
      <c r="B629" s="173"/>
      <c r="F629" s="108"/>
      <c r="G629" s="112"/>
      <c r="I629" s="110"/>
      <c r="K629" s="110"/>
    </row>
    <row r="630" ht="15.75" customHeight="1">
      <c r="B630" s="173"/>
      <c r="F630" s="108"/>
      <c r="G630" s="112"/>
      <c r="I630" s="110"/>
      <c r="K630" s="110"/>
    </row>
    <row r="631" ht="15.75" customHeight="1">
      <c r="B631" s="173"/>
      <c r="F631" s="108"/>
      <c r="G631" s="112"/>
      <c r="I631" s="110"/>
      <c r="K631" s="110"/>
    </row>
    <row r="632" ht="15.75" customHeight="1">
      <c r="B632" s="173"/>
      <c r="F632" s="108"/>
      <c r="G632" s="112"/>
      <c r="I632" s="110"/>
      <c r="K632" s="110"/>
    </row>
    <row r="633" ht="15.75" customHeight="1">
      <c r="B633" s="173"/>
      <c r="F633" s="108"/>
      <c r="G633" s="112"/>
      <c r="I633" s="110"/>
      <c r="K633" s="110"/>
    </row>
    <row r="634" ht="15.75" customHeight="1">
      <c r="B634" s="173"/>
      <c r="F634" s="108"/>
      <c r="G634" s="112"/>
      <c r="I634" s="110"/>
      <c r="K634" s="110"/>
    </row>
    <row r="635" ht="15.75" customHeight="1">
      <c r="B635" s="173"/>
      <c r="F635" s="108"/>
      <c r="G635" s="112"/>
      <c r="I635" s="110"/>
      <c r="K635" s="110"/>
    </row>
    <row r="636" ht="15.75" customHeight="1">
      <c r="B636" s="173"/>
      <c r="F636" s="108"/>
      <c r="G636" s="112"/>
      <c r="I636" s="110"/>
      <c r="K636" s="110"/>
    </row>
    <row r="637" ht="15.75" customHeight="1">
      <c r="B637" s="173"/>
      <c r="F637" s="108"/>
      <c r="G637" s="112"/>
      <c r="I637" s="110"/>
      <c r="K637" s="110"/>
    </row>
    <row r="638" ht="15.75" customHeight="1">
      <c r="B638" s="173"/>
      <c r="F638" s="108"/>
      <c r="G638" s="112"/>
      <c r="I638" s="110"/>
      <c r="K638" s="110"/>
    </row>
    <row r="639" ht="15.75" customHeight="1">
      <c r="B639" s="173"/>
      <c r="F639" s="108"/>
      <c r="G639" s="112"/>
      <c r="I639" s="110"/>
      <c r="K639" s="110"/>
    </row>
    <row r="640" ht="15.75" customHeight="1">
      <c r="B640" s="173"/>
      <c r="F640" s="108"/>
      <c r="G640" s="112"/>
      <c r="I640" s="110"/>
      <c r="K640" s="110"/>
    </row>
    <row r="641" ht="15.75" customHeight="1">
      <c r="B641" s="173"/>
      <c r="F641" s="108"/>
      <c r="G641" s="112"/>
      <c r="I641" s="110"/>
      <c r="K641" s="110"/>
    </row>
    <row r="642" ht="15.75" customHeight="1">
      <c r="B642" s="173"/>
      <c r="F642" s="108"/>
      <c r="G642" s="112"/>
      <c r="I642" s="110"/>
      <c r="K642" s="110"/>
    </row>
    <row r="643" ht="15.75" customHeight="1">
      <c r="B643" s="173"/>
      <c r="F643" s="108"/>
      <c r="G643" s="112"/>
      <c r="I643" s="110"/>
      <c r="K643" s="110"/>
    </row>
    <row r="644" ht="15.75" customHeight="1">
      <c r="B644" s="173"/>
      <c r="F644" s="108"/>
      <c r="G644" s="112"/>
      <c r="I644" s="110"/>
      <c r="K644" s="110"/>
    </row>
    <row r="645" ht="15.75" customHeight="1">
      <c r="B645" s="173"/>
      <c r="F645" s="108"/>
      <c r="G645" s="112"/>
      <c r="I645" s="110"/>
      <c r="K645" s="110"/>
    </row>
    <row r="646" ht="15.75" customHeight="1">
      <c r="B646" s="173"/>
      <c r="F646" s="108"/>
      <c r="G646" s="112"/>
      <c r="I646" s="110"/>
      <c r="K646" s="110"/>
    </row>
    <row r="647" ht="15.75" customHeight="1">
      <c r="B647" s="173"/>
      <c r="F647" s="108"/>
      <c r="G647" s="112"/>
      <c r="I647" s="110"/>
      <c r="K647" s="110"/>
    </row>
    <row r="648" ht="15.75" customHeight="1">
      <c r="B648" s="173"/>
      <c r="F648" s="108"/>
      <c r="G648" s="112"/>
      <c r="I648" s="110"/>
      <c r="K648" s="110"/>
    </row>
    <row r="649" ht="15.75" customHeight="1">
      <c r="B649" s="173"/>
      <c r="F649" s="108"/>
      <c r="G649" s="112"/>
      <c r="I649" s="110"/>
      <c r="K649" s="110"/>
    </row>
    <row r="650" ht="15.75" customHeight="1">
      <c r="B650" s="173"/>
      <c r="F650" s="108"/>
      <c r="G650" s="112"/>
      <c r="I650" s="110"/>
      <c r="K650" s="110"/>
    </row>
    <row r="651" ht="15.75" customHeight="1">
      <c r="B651" s="173"/>
      <c r="F651" s="108"/>
      <c r="G651" s="112"/>
      <c r="I651" s="110"/>
      <c r="K651" s="110"/>
    </row>
    <row r="652" ht="15.75" customHeight="1">
      <c r="B652" s="173"/>
      <c r="F652" s="108"/>
      <c r="G652" s="112"/>
      <c r="I652" s="110"/>
      <c r="K652" s="110"/>
    </row>
    <row r="653" ht="15.75" customHeight="1">
      <c r="B653" s="173"/>
      <c r="F653" s="108"/>
      <c r="G653" s="112"/>
      <c r="I653" s="110"/>
      <c r="K653" s="110"/>
    </row>
    <row r="654" ht="15.75" customHeight="1">
      <c r="B654" s="173"/>
      <c r="F654" s="108"/>
      <c r="G654" s="112"/>
      <c r="I654" s="110"/>
      <c r="K654" s="110"/>
    </row>
    <row r="655" ht="15.75" customHeight="1">
      <c r="B655" s="173"/>
      <c r="F655" s="108"/>
      <c r="G655" s="112"/>
      <c r="I655" s="110"/>
      <c r="K655" s="110"/>
    </row>
    <row r="656" ht="15.75" customHeight="1">
      <c r="B656" s="173"/>
      <c r="F656" s="108"/>
      <c r="G656" s="112"/>
      <c r="I656" s="110"/>
      <c r="K656" s="110"/>
    </row>
    <row r="657" ht="15.75" customHeight="1">
      <c r="B657" s="173"/>
      <c r="F657" s="108"/>
      <c r="G657" s="112"/>
      <c r="I657" s="110"/>
      <c r="K657" s="110"/>
    </row>
    <row r="658" ht="15.75" customHeight="1">
      <c r="B658" s="173"/>
      <c r="F658" s="108"/>
      <c r="G658" s="112"/>
      <c r="I658" s="110"/>
      <c r="K658" s="110"/>
    </row>
    <row r="659" ht="15.75" customHeight="1">
      <c r="B659" s="173"/>
      <c r="F659" s="108"/>
      <c r="G659" s="112"/>
      <c r="I659" s="110"/>
      <c r="K659" s="110"/>
    </row>
    <row r="660" ht="15.75" customHeight="1">
      <c r="B660" s="173"/>
      <c r="F660" s="108"/>
      <c r="G660" s="112"/>
      <c r="I660" s="110"/>
      <c r="K660" s="110"/>
    </row>
    <row r="661" ht="15.75" customHeight="1">
      <c r="B661" s="173"/>
      <c r="F661" s="108"/>
      <c r="G661" s="112"/>
      <c r="I661" s="110"/>
      <c r="K661" s="110"/>
    </row>
    <row r="662" ht="15.75" customHeight="1">
      <c r="B662" s="173"/>
      <c r="F662" s="108"/>
      <c r="G662" s="112"/>
      <c r="I662" s="110"/>
      <c r="K662" s="110"/>
    </row>
    <row r="663" ht="15.75" customHeight="1">
      <c r="B663" s="173"/>
      <c r="F663" s="108"/>
      <c r="G663" s="112"/>
      <c r="I663" s="110"/>
      <c r="K663" s="110"/>
    </row>
    <row r="664" ht="15.75" customHeight="1">
      <c r="B664" s="173"/>
      <c r="F664" s="108"/>
      <c r="G664" s="112"/>
      <c r="I664" s="110"/>
      <c r="K664" s="110"/>
    </row>
    <row r="665" ht="15.75" customHeight="1">
      <c r="B665" s="173"/>
      <c r="F665" s="108"/>
      <c r="G665" s="112"/>
      <c r="I665" s="110"/>
      <c r="K665" s="110"/>
    </row>
    <row r="666" ht="15.75" customHeight="1">
      <c r="B666" s="173"/>
      <c r="F666" s="108"/>
      <c r="G666" s="112"/>
      <c r="I666" s="110"/>
      <c r="K666" s="110"/>
    </row>
    <row r="667" ht="15.75" customHeight="1">
      <c r="B667" s="173"/>
      <c r="F667" s="108"/>
      <c r="G667" s="112"/>
      <c r="I667" s="110"/>
      <c r="K667" s="110"/>
    </row>
    <row r="668" ht="15.75" customHeight="1">
      <c r="B668" s="173"/>
      <c r="F668" s="108"/>
      <c r="G668" s="112"/>
      <c r="I668" s="110"/>
      <c r="K668" s="110"/>
    </row>
    <row r="669" ht="15.75" customHeight="1">
      <c r="B669" s="173"/>
      <c r="F669" s="108"/>
      <c r="G669" s="112"/>
      <c r="I669" s="110"/>
      <c r="K669" s="110"/>
    </row>
    <row r="670" ht="15.75" customHeight="1">
      <c r="B670" s="173"/>
      <c r="F670" s="108"/>
      <c r="G670" s="112"/>
      <c r="I670" s="110"/>
      <c r="K670" s="110"/>
    </row>
    <row r="671" ht="15.75" customHeight="1">
      <c r="B671" s="173"/>
      <c r="F671" s="108"/>
      <c r="G671" s="112"/>
      <c r="I671" s="110"/>
      <c r="K671" s="110"/>
    </row>
    <row r="672" ht="15.75" customHeight="1">
      <c r="B672" s="173"/>
      <c r="F672" s="108"/>
      <c r="G672" s="112"/>
      <c r="I672" s="110"/>
      <c r="K672" s="110"/>
    </row>
    <row r="673" ht="15.75" customHeight="1">
      <c r="B673" s="173"/>
      <c r="F673" s="108"/>
      <c r="G673" s="112"/>
      <c r="I673" s="110"/>
      <c r="K673" s="110"/>
    </row>
    <row r="674" ht="15.75" customHeight="1">
      <c r="B674" s="173"/>
      <c r="F674" s="108"/>
      <c r="G674" s="112"/>
      <c r="I674" s="110"/>
      <c r="K674" s="110"/>
    </row>
    <row r="675" ht="15.75" customHeight="1">
      <c r="B675" s="173"/>
      <c r="F675" s="108"/>
      <c r="G675" s="112"/>
      <c r="I675" s="110"/>
      <c r="K675" s="110"/>
    </row>
    <row r="676" ht="15.75" customHeight="1">
      <c r="B676" s="173"/>
      <c r="F676" s="108"/>
      <c r="G676" s="112"/>
      <c r="I676" s="110"/>
      <c r="K676" s="110"/>
    </row>
    <row r="677" ht="15.75" customHeight="1">
      <c r="B677" s="173"/>
      <c r="F677" s="108"/>
      <c r="G677" s="112"/>
      <c r="I677" s="110"/>
      <c r="K677" s="110"/>
    </row>
    <row r="678" ht="15.75" customHeight="1">
      <c r="B678" s="173"/>
      <c r="F678" s="108"/>
      <c r="G678" s="112"/>
      <c r="I678" s="110"/>
      <c r="K678" s="110"/>
    </row>
    <row r="679" ht="15.75" customHeight="1">
      <c r="B679" s="173"/>
      <c r="F679" s="108"/>
      <c r="G679" s="112"/>
      <c r="I679" s="110"/>
      <c r="K679" s="110"/>
    </row>
    <row r="680" ht="15.75" customHeight="1">
      <c r="B680" s="173"/>
      <c r="F680" s="108"/>
      <c r="G680" s="112"/>
      <c r="I680" s="110"/>
      <c r="K680" s="110"/>
    </row>
    <row r="681" ht="15.75" customHeight="1">
      <c r="B681" s="173"/>
      <c r="F681" s="108"/>
      <c r="G681" s="112"/>
      <c r="I681" s="110"/>
      <c r="K681" s="110"/>
    </row>
    <row r="682" ht="15.75" customHeight="1">
      <c r="B682" s="173"/>
      <c r="F682" s="108"/>
      <c r="G682" s="112"/>
      <c r="I682" s="110"/>
      <c r="K682" s="110"/>
    </row>
    <row r="683" ht="15.75" customHeight="1">
      <c r="B683" s="173"/>
      <c r="F683" s="108"/>
      <c r="G683" s="112"/>
      <c r="I683" s="110"/>
      <c r="K683" s="110"/>
    </row>
    <row r="684" ht="15.75" customHeight="1">
      <c r="B684" s="173"/>
      <c r="F684" s="108"/>
      <c r="G684" s="112"/>
      <c r="I684" s="110"/>
      <c r="K684" s="110"/>
    </row>
    <row r="685" ht="15.75" customHeight="1">
      <c r="B685" s="173"/>
      <c r="F685" s="108"/>
      <c r="G685" s="112"/>
      <c r="I685" s="110"/>
      <c r="K685" s="110"/>
    </row>
    <row r="686" ht="15.75" customHeight="1">
      <c r="B686" s="173"/>
      <c r="F686" s="108"/>
      <c r="G686" s="112"/>
      <c r="I686" s="110"/>
      <c r="K686" s="110"/>
    </row>
    <row r="687" ht="15.75" customHeight="1">
      <c r="B687" s="173"/>
      <c r="F687" s="108"/>
      <c r="G687" s="112"/>
      <c r="I687" s="110"/>
      <c r="K687" s="110"/>
    </row>
    <row r="688" ht="15.75" customHeight="1">
      <c r="B688" s="173"/>
      <c r="F688" s="108"/>
      <c r="G688" s="112"/>
      <c r="I688" s="110"/>
      <c r="K688" s="110"/>
    </row>
    <row r="689" ht="15.75" customHeight="1">
      <c r="B689" s="173"/>
      <c r="F689" s="108"/>
      <c r="G689" s="112"/>
      <c r="I689" s="110"/>
      <c r="K689" s="110"/>
    </row>
    <row r="690" ht="15.75" customHeight="1">
      <c r="B690" s="173"/>
      <c r="F690" s="108"/>
      <c r="G690" s="112"/>
      <c r="I690" s="110"/>
      <c r="K690" s="110"/>
    </row>
    <row r="691" ht="15.75" customHeight="1">
      <c r="B691" s="173"/>
      <c r="F691" s="108"/>
      <c r="G691" s="112"/>
      <c r="I691" s="110"/>
      <c r="K691" s="110"/>
    </row>
    <row r="692" ht="15.75" customHeight="1">
      <c r="B692" s="173"/>
      <c r="F692" s="108"/>
      <c r="G692" s="112"/>
      <c r="I692" s="110"/>
      <c r="K692" s="110"/>
    </row>
    <row r="693" ht="15.75" customHeight="1">
      <c r="B693" s="173"/>
      <c r="F693" s="108"/>
      <c r="G693" s="112"/>
      <c r="I693" s="110"/>
      <c r="K693" s="110"/>
    </row>
    <row r="694" ht="15.75" customHeight="1">
      <c r="B694" s="173"/>
      <c r="F694" s="108"/>
      <c r="G694" s="112"/>
      <c r="I694" s="110"/>
      <c r="K694" s="110"/>
    </row>
    <row r="695" ht="15.75" customHeight="1">
      <c r="B695" s="173"/>
      <c r="F695" s="108"/>
      <c r="G695" s="112"/>
      <c r="I695" s="110"/>
      <c r="K695" s="110"/>
    </row>
    <row r="696" ht="15.75" customHeight="1">
      <c r="B696" s="173"/>
      <c r="F696" s="108"/>
      <c r="G696" s="112"/>
      <c r="I696" s="110"/>
      <c r="K696" s="110"/>
    </row>
    <row r="697" ht="15.75" customHeight="1">
      <c r="B697" s="173"/>
      <c r="F697" s="108"/>
      <c r="G697" s="112"/>
      <c r="I697" s="110"/>
      <c r="K697" s="110"/>
    </row>
    <row r="698" ht="15.75" customHeight="1">
      <c r="B698" s="173"/>
      <c r="F698" s="108"/>
      <c r="G698" s="112"/>
      <c r="I698" s="110"/>
      <c r="K698" s="110"/>
    </row>
    <row r="699" ht="15.75" customHeight="1">
      <c r="B699" s="173"/>
      <c r="F699" s="108"/>
      <c r="G699" s="112"/>
      <c r="I699" s="110"/>
      <c r="K699" s="110"/>
    </row>
    <row r="700" ht="15.75" customHeight="1">
      <c r="B700" s="173"/>
      <c r="F700" s="108"/>
      <c r="G700" s="112"/>
      <c r="I700" s="110"/>
      <c r="K700" s="110"/>
    </row>
    <row r="701" ht="15.75" customHeight="1">
      <c r="B701" s="173"/>
      <c r="F701" s="108"/>
      <c r="G701" s="112"/>
      <c r="I701" s="110"/>
      <c r="K701" s="110"/>
    </row>
    <row r="702" ht="15.75" customHeight="1">
      <c r="B702" s="173"/>
      <c r="F702" s="108"/>
      <c r="G702" s="112"/>
      <c r="I702" s="110"/>
      <c r="K702" s="110"/>
    </row>
    <row r="703" ht="15.75" customHeight="1">
      <c r="B703" s="173"/>
      <c r="F703" s="108"/>
      <c r="G703" s="112"/>
      <c r="I703" s="110"/>
      <c r="K703" s="110"/>
    </row>
    <row r="704" ht="15.75" customHeight="1">
      <c r="B704" s="173"/>
      <c r="F704" s="108"/>
      <c r="G704" s="112"/>
      <c r="I704" s="110"/>
      <c r="K704" s="110"/>
    </row>
    <row r="705" ht="15.75" customHeight="1">
      <c r="B705" s="173"/>
      <c r="F705" s="108"/>
      <c r="G705" s="112"/>
      <c r="I705" s="110"/>
      <c r="K705" s="110"/>
    </row>
    <row r="706" ht="15.75" customHeight="1">
      <c r="B706" s="173"/>
      <c r="F706" s="108"/>
      <c r="G706" s="112"/>
      <c r="I706" s="110"/>
      <c r="K706" s="110"/>
    </row>
    <row r="707" ht="15.75" customHeight="1">
      <c r="B707" s="173"/>
      <c r="F707" s="108"/>
      <c r="G707" s="112"/>
      <c r="I707" s="110"/>
      <c r="K707" s="110"/>
    </row>
    <row r="708" ht="15.75" customHeight="1">
      <c r="B708" s="173"/>
      <c r="F708" s="108"/>
      <c r="G708" s="112"/>
      <c r="I708" s="110"/>
      <c r="K708" s="110"/>
    </row>
    <row r="709" ht="15.75" customHeight="1">
      <c r="B709" s="173"/>
      <c r="F709" s="108"/>
      <c r="G709" s="112"/>
      <c r="I709" s="110"/>
      <c r="K709" s="110"/>
    </row>
    <row r="710" ht="15.75" customHeight="1">
      <c r="B710" s="173"/>
      <c r="F710" s="108"/>
      <c r="G710" s="112"/>
      <c r="I710" s="110"/>
      <c r="K710" s="110"/>
    </row>
    <row r="711" ht="15.75" customHeight="1">
      <c r="B711" s="173"/>
      <c r="F711" s="108"/>
      <c r="G711" s="112"/>
      <c r="I711" s="110"/>
      <c r="K711" s="110"/>
    </row>
    <row r="712" ht="15.75" customHeight="1">
      <c r="B712" s="173"/>
      <c r="F712" s="108"/>
      <c r="G712" s="112"/>
      <c r="I712" s="110"/>
      <c r="K712" s="110"/>
    </row>
    <row r="713" ht="15.75" customHeight="1">
      <c r="B713" s="173"/>
      <c r="F713" s="108"/>
      <c r="G713" s="112"/>
      <c r="I713" s="110"/>
      <c r="K713" s="110"/>
    </row>
    <row r="714" ht="15.75" customHeight="1">
      <c r="B714" s="173"/>
      <c r="F714" s="108"/>
      <c r="G714" s="112"/>
      <c r="I714" s="110"/>
      <c r="K714" s="110"/>
    </row>
    <row r="715" ht="15.75" customHeight="1">
      <c r="B715" s="173"/>
      <c r="F715" s="108"/>
      <c r="G715" s="112"/>
      <c r="I715" s="110"/>
      <c r="K715" s="110"/>
    </row>
    <row r="716" ht="15.75" customHeight="1">
      <c r="B716" s="173"/>
      <c r="F716" s="108"/>
      <c r="G716" s="112"/>
      <c r="I716" s="110"/>
      <c r="K716" s="110"/>
    </row>
    <row r="717" ht="15.75" customHeight="1">
      <c r="B717" s="173"/>
      <c r="F717" s="108"/>
      <c r="G717" s="112"/>
      <c r="I717" s="110"/>
      <c r="K717" s="110"/>
    </row>
    <row r="718" ht="15.75" customHeight="1">
      <c r="B718" s="173"/>
      <c r="F718" s="108"/>
      <c r="G718" s="112"/>
      <c r="I718" s="110"/>
      <c r="K718" s="110"/>
    </row>
    <row r="719" ht="15.75" customHeight="1">
      <c r="B719" s="173"/>
      <c r="F719" s="108"/>
      <c r="G719" s="112"/>
      <c r="I719" s="110"/>
      <c r="K719" s="110"/>
    </row>
    <row r="720" ht="15.75" customHeight="1">
      <c r="B720" s="173"/>
      <c r="F720" s="108"/>
      <c r="G720" s="112"/>
      <c r="I720" s="110"/>
      <c r="K720" s="110"/>
    </row>
    <row r="721" ht="15.75" customHeight="1">
      <c r="B721" s="173"/>
      <c r="F721" s="108"/>
      <c r="G721" s="112"/>
      <c r="I721" s="110"/>
      <c r="K721" s="110"/>
    </row>
    <row r="722" ht="15.75" customHeight="1">
      <c r="B722" s="173"/>
      <c r="F722" s="108"/>
      <c r="G722" s="112"/>
      <c r="I722" s="110"/>
      <c r="K722" s="110"/>
    </row>
    <row r="723" ht="15.75" customHeight="1">
      <c r="B723" s="173"/>
      <c r="F723" s="108"/>
      <c r="G723" s="112"/>
      <c r="I723" s="110"/>
      <c r="K723" s="110"/>
    </row>
    <row r="724" ht="15.75" customHeight="1">
      <c r="B724" s="173"/>
      <c r="F724" s="108"/>
      <c r="G724" s="112"/>
      <c r="I724" s="110"/>
      <c r="K724" s="110"/>
    </row>
    <row r="725" ht="15.75" customHeight="1">
      <c r="B725" s="173"/>
      <c r="F725" s="108"/>
      <c r="G725" s="112"/>
      <c r="I725" s="110"/>
      <c r="K725" s="110"/>
    </row>
    <row r="726" ht="15.75" customHeight="1">
      <c r="B726" s="173"/>
      <c r="F726" s="108"/>
      <c r="G726" s="112"/>
      <c r="I726" s="110"/>
      <c r="K726" s="110"/>
    </row>
    <row r="727" ht="15.75" customHeight="1">
      <c r="B727" s="173"/>
      <c r="F727" s="108"/>
      <c r="G727" s="112"/>
      <c r="I727" s="110"/>
      <c r="K727" s="110"/>
    </row>
    <row r="728" ht="15.75" customHeight="1">
      <c r="B728" s="173"/>
      <c r="F728" s="108"/>
      <c r="G728" s="112"/>
      <c r="I728" s="110"/>
      <c r="K728" s="110"/>
    </row>
    <row r="729" ht="15.75" customHeight="1">
      <c r="B729" s="173"/>
      <c r="F729" s="108"/>
      <c r="G729" s="112"/>
      <c r="I729" s="110"/>
      <c r="K729" s="110"/>
    </row>
    <row r="730" ht="15.75" customHeight="1">
      <c r="B730" s="173"/>
      <c r="F730" s="108"/>
      <c r="G730" s="112"/>
      <c r="I730" s="110"/>
      <c r="K730" s="110"/>
    </row>
    <row r="731" ht="15.75" customHeight="1">
      <c r="B731" s="173"/>
      <c r="F731" s="108"/>
      <c r="G731" s="112"/>
      <c r="I731" s="110"/>
      <c r="K731" s="110"/>
    </row>
    <row r="732" ht="15.75" customHeight="1">
      <c r="B732" s="173"/>
      <c r="F732" s="108"/>
      <c r="G732" s="112"/>
      <c r="I732" s="110"/>
      <c r="K732" s="110"/>
    </row>
    <row r="733" ht="15.75" customHeight="1">
      <c r="B733" s="173"/>
      <c r="F733" s="108"/>
      <c r="G733" s="112"/>
      <c r="I733" s="110"/>
      <c r="K733" s="110"/>
    </row>
    <row r="734" ht="15.75" customHeight="1">
      <c r="B734" s="173"/>
      <c r="F734" s="108"/>
      <c r="G734" s="112"/>
      <c r="I734" s="110"/>
      <c r="K734" s="110"/>
    </row>
    <row r="735" ht="15.75" customHeight="1">
      <c r="B735" s="173"/>
      <c r="F735" s="108"/>
      <c r="G735" s="112"/>
      <c r="I735" s="110"/>
      <c r="K735" s="110"/>
    </row>
    <row r="736" ht="15.75" customHeight="1">
      <c r="B736" s="173"/>
      <c r="F736" s="108"/>
      <c r="G736" s="112"/>
      <c r="I736" s="110"/>
      <c r="K736" s="110"/>
    </row>
    <row r="737" ht="15.75" customHeight="1">
      <c r="B737" s="173"/>
      <c r="F737" s="108"/>
      <c r="G737" s="112"/>
      <c r="I737" s="110"/>
      <c r="K737" s="110"/>
    </row>
    <row r="738" ht="15.75" customHeight="1">
      <c r="B738" s="173"/>
      <c r="F738" s="108"/>
      <c r="G738" s="112"/>
      <c r="I738" s="110"/>
      <c r="K738" s="110"/>
    </row>
    <row r="739" ht="15.75" customHeight="1">
      <c r="B739" s="173"/>
      <c r="F739" s="108"/>
      <c r="G739" s="112"/>
      <c r="I739" s="110"/>
      <c r="K739" s="110"/>
    </row>
    <row r="740" ht="15.75" customHeight="1">
      <c r="B740" s="173"/>
      <c r="F740" s="108"/>
      <c r="G740" s="112"/>
      <c r="I740" s="110"/>
      <c r="K740" s="110"/>
    </row>
    <row r="741" ht="15.75" customHeight="1">
      <c r="B741" s="173"/>
      <c r="F741" s="108"/>
      <c r="G741" s="112"/>
      <c r="I741" s="110"/>
      <c r="K741" s="110"/>
    </row>
    <row r="742" ht="15.75" customHeight="1">
      <c r="B742" s="173"/>
      <c r="F742" s="108"/>
      <c r="G742" s="112"/>
      <c r="I742" s="110"/>
      <c r="K742" s="110"/>
    </row>
    <row r="743" ht="15.75" customHeight="1">
      <c r="B743" s="173"/>
      <c r="F743" s="108"/>
      <c r="G743" s="112"/>
      <c r="I743" s="110"/>
      <c r="K743" s="110"/>
    </row>
    <row r="744" ht="15.75" customHeight="1">
      <c r="B744" s="173"/>
      <c r="F744" s="108"/>
      <c r="G744" s="112"/>
      <c r="I744" s="110"/>
      <c r="K744" s="110"/>
    </row>
    <row r="745" ht="15.75" customHeight="1">
      <c r="B745" s="173"/>
      <c r="F745" s="108"/>
      <c r="G745" s="112"/>
      <c r="I745" s="110"/>
      <c r="K745" s="110"/>
    </row>
    <row r="746" ht="15.75" customHeight="1">
      <c r="B746" s="173"/>
      <c r="F746" s="108"/>
      <c r="G746" s="112"/>
      <c r="I746" s="110"/>
      <c r="K746" s="110"/>
    </row>
    <row r="747" ht="15.75" customHeight="1">
      <c r="B747" s="173"/>
      <c r="F747" s="108"/>
      <c r="G747" s="112"/>
      <c r="I747" s="110"/>
      <c r="K747" s="110"/>
    </row>
    <row r="748" ht="15.75" customHeight="1">
      <c r="B748" s="173"/>
      <c r="F748" s="108"/>
      <c r="G748" s="112"/>
      <c r="I748" s="110"/>
      <c r="K748" s="110"/>
    </row>
    <row r="749" ht="15.75" customHeight="1">
      <c r="B749" s="173"/>
      <c r="F749" s="108"/>
      <c r="G749" s="112"/>
      <c r="I749" s="110"/>
      <c r="K749" s="110"/>
    </row>
    <row r="750" ht="15.75" customHeight="1">
      <c r="B750" s="173"/>
      <c r="F750" s="108"/>
      <c r="G750" s="112"/>
      <c r="I750" s="110"/>
      <c r="K750" s="110"/>
    </row>
    <row r="751" ht="15.75" customHeight="1">
      <c r="B751" s="173"/>
      <c r="F751" s="108"/>
      <c r="G751" s="112"/>
      <c r="I751" s="110"/>
      <c r="K751" s="110"/>
    </row>
    <row r="752" ht="15.75" customHeight="1">
      <c r="B752" s="173"/>
      <c r="F752" s="108"/>
      <c r="G752" s="112"/>
      <c r="I752" s="110"/>
      <c r="K752" s="110"/>
    </row>
    <row r="753" ht="15.75" customHeight="1">
      <c r="B753" s="173"/>
      <c r="F753" s="108"/>
      <c r="G753" s="112"/>
      <c r="I753" s="110"/>
      <c r="K753" s="110"/>
    </row>
    <row r="754" ht="15.75" customHeight="1">
      <c r="B754" s="173"/>
      <c r="F754" s="108"/>
      <c r="G754" s="112"/>
      <c r="I754" s="110"/>
      <c r="K754" s="110"/>
    </row>
    <row r="755" ht="15.75" customHeight="1">
      <c r="B755" s="173"/>
      <c r="F755" s="108"/>
      <c r="G755" s="112"/>
      <c r="I755" s="110"/>
      <c r="K755" s="110"/>
    </row>
    <row r="756" ht="15.75" customHeight="1">
      <c r="B756" s="173"/>
      <c r="F756" s="108"/>
      <c r="G756" s="112"/>
      <c r="I756" s="110"/>
      <c r="K756" s="110"/>
    </row>
    <row r="757" ht="15.75" customHeight="1">
      <c r="B757" s="173"/>
      <c r="F757" s="108"/>
      <c r="G757" s="112"/>
      <c r="I757" s="110"/>
      <c r="K757" s="110"/>
    </row>
    <row r="758" ht="15.75" customHeight="1">
      <c r="B758" s="173"/>
      <c r="F758" s="108"/>
      <c r="G758" s="112"/>
      <c r="I758" s="110"/>
      <c r="K758" s="110"/>
    </row>
    <row r="759" ht="15.75" customHeight="1">
      <c r="B759" s="173"/>
      <c r="F759" s="108"/>
      <c r="G759" s="112"/>
      <c r="I759" s="110"/>
      <c r="K759" s="110"/>
    </row>
    <row r="760" ht="15.75" customHeight="1">
      <c r="B760" s="173"/>
      <c r="F760" s="108"/>
      <c r="G760" s="112"/>
      <c r="I760" s="110"/>
      <c r="K760" s="110"/>
    </row>
    <row r="761" ht="15.75" customHeight="1">
      <c r="B761" s="173"/>
      <c r="F761" s="108"/>
      <c r="G761" s="112"/>
      <c r="I761" s="110"/>
      <c r="K761" s="110"/>
    </row>
    <row r="762" ht="15.75" customHeight="1">
      <c r="B762" s="173"/>
      <c r="F762" s="108"/>
      <c r="G762" s="112"/>
      <c r="I762" s="110"/>
      <c r="K762" s="110"/>
    </row>
    <row r="763" ht="15.75" customHeight="1">
      <c r="B763" s="173"/>
      <c r="F763" s="108"/>
      <c r="G763" s="112"/>
      <c r="I763" s="110"/>
      <c r="K763" s="110"/>
    </row>
    <row r="764" ht="15.75" customHeight="1">
      <c r="B764" s="173"/>
      <c r="F764" s="108"/>
      <c r="G764" s="112"/>
      <c r="I764" s="110"/>
      <c r="K764" s="110"/>
    </row>
    <row r="765" ht="15.75" customHeight="1">
      <c r="B765" s="173"/>
      <c r="F765" s="108"/>
      <c r="G765" s="112"/>
      <c r="I765" s="110"/>
      <c r="K765" s="110"/>
    </row>
    <row r="766" ht="15.75" customHeight="1">
      <c r="B766" s="173"/>
      <c r="F766" s="108"/>
      <c r="G766" s="112"/>
      <c r="I766" s="110"/>
      <c r="K766" s="110"/>
    </row>
    <row r="767" ht="15.75" customHeight="1">
      <c r="B767" s="173"/>
      <c r="F767" s="108"/>
      <c r="G767" s="112"/>
      <c r="I767" s="110"/>
      <c r="K767" s="110"/>
    </row>
    <row r="768" ht="15.75" customHeight="1">
      <c r="B768" s="173"/>
      <c r="F768" s="108"/>
      <c r="G768" s="112"/>
      <c r="I768" s="110"/>
      <c r="K768" s="110"/>
    </row>
    <row r="769" ht="15.75" customHeight="1">
      <c r="B769" s="173"/>
      <c r="F769" s="108"/>
      <c r="G769" s="112"/>
      <c r="I769" s="110"/>
      <c r="K769" s="110"/>
    </row>
    <row r="770" ht="15.75" customHeight="1">
      <c r="B770" s="173"/>
      <c r="F770" s="108"/>
      <c r="G770" s="112"/>
      <c r="I770" s="110"/>
      <c r="K770" s="110"/>
    </row>
    <row r="771" ht="15.75" customHeight="1">
      <c r="B771" s="173"/>
      <c r="F771" s="108"/>
      <c r="G771" s="112"/>
      <c r="I771" s="110"/>
      <c r="K771" s="110"/>
    </row>
    <row r="772" ht="15.75" customHeight="1">
      <c r="B772" s="173"/>
      <c r="F772" s="108"/>
      <c r="G772" s="112"/>
      <c r="I772" s="110"/>
      <c r="K772" s="110"/>
    </row>
    <row r="773" ht="15.75" customHeight="1">
      <c r="B773" s="173"/>
      <c r="F773" s="108"/>
      <c r="G773" s="112"/>
      <c r="I773" s="110"/>
      <c r="K773" s="110"/>
    </row>
    <row r="774" ht="15.75" customHeight="1">
      <c r="B774" s="173"/>
      <c r="F774" s="108"/>
      <c r="G774" s="112"/>
      <c r="I774" s="110"/>
      <c r="K774" s="110"/>
    </row>
    <row r="775" ht="15.75" customHeight="1">
      <c r="B775" s="173"/>
      <c r="F775" s="108"/>
      <c r="G775" s="112"/>
      <c r="I775" s="110"/>
      <c r="K775" s="110"/>
    </row>
    <row r="776" ht="15.75" customHeight="1">
      <c r="B776" s="173"/>
      <c r="F776" s="108"/>
      <c r="G776" s="112"/>
      <c r="I776" s="110"/>
      <c r="K776" s="110"/>
    </row>
    <row r="777" ht="15.75" customHeight="1">
      <c r="B777" s="173"/>
      <c r="F777" s="108"/>
      <c r="G777" s="112"/>
      <c r="I777" s="110"/>
      <c r="K777" s="110"/>
    </row>
    <row r="778" ht="15.75" customHeight="1">
      <c r="B778" s="173"/>
      <c r="F778" s="108"/>
      <c r="G778" s="112"/>
      <c r="I778" s="110"/>
      <c r="K778" s="110"/>
    </row>
    <row r="779" ht="15.75" customHeight="1">
      <c r="B779" s="173"/>
      <c r="F779" s="108"/>
      <c r="G779" s="112"/>
      <c r="I779" s="110"/>
      <c r="K779" s="110"/>
    </row>
    <row r="780" ht="15.75" customHeight="1">
      <c r="B780" s="173"/>
      <c r="F780" s="108"/>
      <c r="G780" s="112"/>
      <c r="I780" s="110"/>
      <c r="K780" s="110"/>
    </row>
    <row r="781" ht="15.75" customHeight="1">
      <c r="B781" s="173"/>
      <c r="F781" s="108"/>
      <c r="G781" s="112"/>
      <c r="I781" s="110"/>
      <c r="K781" s="110"/>
    </row>
    <row r="782" ht="15.75" customHeight="1">
      <c r="B782" s="173"/>
      <c r="F782" s="108"/>
      <c r="G782" s="112"/>
      <c r="I782" s="110"/>
      <c r="K782" s="110"/>
    </row>
    <row r="783" ht="15.75" customHeight="1">
      <c r="B783" s="173"/>
      <c r="F783" s="108"/>
      <c r="G783" s="112"/>
      <c r="I783" s="110"/>
      <c r="K783" s="110"/>
    </row>
    <row r="784" ht="15.75" customHeight="1">
      <c r="B784" s="173"/>
      <c r="F784" s="108"/>
      <c r="G784" s="112"/>
      <c r="I784" s="110"/>
      <c r="K784" s="110"/>
    </row>
    <row r="785" ht="15.75" customHeight="1">
      <c r="B785" s="173"/>
      <c r="F785" s="108"/>
      <c r="G785" s="112"/>
      <c r="I785" s="110"/>
      <c r="K785" s="110"/>
    </row>
    <row r="786" ht="15.75" customHeight="1">
      <c r="B786" s="173"/>
      <c r="F786" s="108"/>
      <c r="G786" s="112"/>
      <c r="I786" s="110"/>
      <c r="K786" s="110"/>
    </row>
    <row r="787" ht="15.75" customHeight="1">
      <c r="B787" s="173"/>
      <c r="F787" s="108"/>
      <c r="G787" s="112"/>
      <c r="I787" s="110"/>
      <c r="K787" s="110"/>
    </row>
    <row r="788" ht="15.75" customHeight="1">
      <c r="B788" s="173"/>
      <c r="F788" s="108"/>
      <c r="G788" s="112"/>
      <c r="I788" s="110"/>
      <c r="K788" s="110"/>
    </row>
    <row r="789" ht="15.75" customHeight="1">
      <c r="B789" s="173"/>
      <c r="F789" s="108"/>
      <c r="G789" s="112"/>
      <c r="I789" s="110"/>
      <c r="K789" s="110"/>
    </row>
    <row r="790" ht="15.75" customHeight="1">
      <c r="B790" s="173"/>
      <c r="F790" s="108"/>
      <c r="G790" s="112"/>
      <c r="I790" s="110"/>
      <c r="K790" s="110"/>
    </row>
    <row r="791" ht="15.75" customHeight="1">
      <c r="B791" s="173"/>
      <c r="F791" s="108"/>
      <c r="G791" s="112"/>
      <c r="I791" s="110"/>
      <c r="K791" s="110"/>
    </row>
    <row r="792" ht="15.75" customHeight="1">
      <c r="B792" s="173"/>
      <c r="F792" s="108"/>
      <c r="G792" s="112"/>
      <c r="I792" s="110"/>
      <c r="K792" s="110"/>
    </row>
    <row r="793" ht="15.75" customHeight="1">
      <c r="B793" s="173"/>
      <c r="F793" s="108"/>
      <c r="G793" s="112"/>
      <c r="I793" s="110"/>
      <c r="K793" s="110"/>
    </row>
    <row r="794" ht="15.75" customHeight="1">
      <c r="B794" s="173"/>
      <c r="F794" s="108"/>
      <c r="G794" s="112"/>
      <c r="I794" s="110"/>
      <c r="K794" s="110"/>
    </row>
    <row r="795" ht="15.75" customHeight="1">
      <c r="B795" s="173"/>
      <c r="F795" s="108"/>
      <c r="G795" s="112"/>
      <c r="I795" s="110"/>
      <c r="K795" s="110"/>
    </row>
    <row r="796" ht="15.75" customHeight="1">
      <c r="B796" s="173"/>
      <c r="F796" s="108"/>
      <c r="G796" s="112"/>
      <c r="I796" s="110"/>
      <c r="K796" s="110"/>
    </row>
    <row r="797" ht="15.75" customHeight="1">
      <c r="B797" s="173"/>
      <c r="F797" s="108"/>
      <c r="G797" s="112"/>
      <c r="I797" s="110"/>
      <c r="K797" s="110"/>
    </row>
    <row r="798" ht="15.75" customHeight="1">
      <c r="B798" s="173"/>
      <c r="F798" s="108"/>
      <c r="G798" s="112"/>
      <c r="I798" s="110"/>
      <c r="K798" s="110"/>
    </row>
    <row r="799" ht="15.75" customHeight="1">
      <c r="B799" s="173"/>
      <c r="F799" s="108"/>
      <c r="G799" s="112"/>
      <c r="I799" s="110"/>
      <c r="K799" s="110"/>
    </row>
    <row r="800" ht="15.75" customHeight="1">
      <c r="B800" s="173"/>
      <c r="F800" s="108"/>
      <c r="G800" s="112"/>
      <c r="I800" s="110"/>
      <c r="K800" s="110"/>
    </row>
    <row r="801" ht="15.75" customHeight="1">
      <c r="B801" s="173"/>
      <c r="F801" s="108"/>
      <c r="G801" s="112"/>
      <c r="I801" s="110"/>
      <c r="K801" s="110"/>
    </row>
    <row r="802" ht="15.75" customHeight="1">
      <c r="B802" s="173"/>
      <c r="F802" s="108"/>
      <c r="G802" s="112"/>
      <c r="I802" s="110"/>
      <c r="K802" s="110"/>
    </row>
    <row r="803" ht="15.75" customHeight="1">
      <c r="B803" s="173"/>
      <c r="F803" s="108"/>
      <c r="G803" s="112"/>
      <c r="I803" s="110"/>
      <c r="K803" s="110"/>
    </row>
    <row r="804" ht="15.75" customHeight="1">
      <c r="B804" s="173"/>
      <c r="F804" s="108"/>
      <c r="G804" s="112"/>
      <c r="I804" s="110"/>
      <c r="K804" s="110"/>
    </row>
    <row r="805" ht="15.75" customHeight="1">
      <c r="B805" s="173"/>
      <c r="F805" s="108"/>
      <c r="G805" s="112"/>
      <c r="I805" s="110"/>
      <c r="K805" s="110"/>
    </row>
    <row r="806" ht="15.75" customHeight="1">
      <c r="B806" s="173"/>
      <c r="F806" s="108"/>
      <c r="G806" s="112"/>
      <c r="I806" s="110"/>
      <c r="K806" s="110"/>
    </row>
    <row r="807" ht="15.75" customHeight="1">
      <c r="B807" s="173"/>
      <c r="F807" s="108"/>
      <c r="G807" s="112"/>
      <c r="I807" s="110"/>
      <c r="K807" s="110"/>
    </row>
    <row r="808" ht="15.75" customHeight="1">
      <c r="B808" s="173"/>
      <c r="F808" s="108"/>
      <c r="G808" s="112"/>
      <c r="I808" s="110"/>
      <c r="K808" s="110"/>
    </row>
    <row r="809" ht="15.75" customHeight="1">
      <c r="B809" s="173"/>
      <c r="F809" s="108"/>
      <c r="G809" s="112"/>
      <c r="I809" s="110"/>
      <c r="K809" s="110"/>
    </row>
    <row r="810" ht="15.75" customHeight="1">
      <c r="B810" s="173"/>
      <c r="F810" s="108"/>
      <c r="G810" s="112"/>
      <c r="I810" s="110"/>
      <c r="K810" s="110"/>
    </row>
    <row r="811" ht="15.75" customHeight="1">
      <c r="B811" s="173"/>
      <c r="F811" s="108"/>
      <c r="G811" s="112"/>
      <c r="I811" s="110"/>
      <c r="K811" s="110"/>
    </row>
    <row r="812" ht="15.75" customHeight="1">
      <c r="B812" s="173"/>
      <c r="F812" s="108"/>
      <c r="G812" s="112"/>
      <c r="I812" s="110"/>
      <c r="K812" s="110"/>
    </row>
    <row r="813" ht="15.75" customHeight="1">
      <c r="B813" s="173"/>
      <c r="F813" s="108"/>
      <c r="G813" s="112"/>
      <c r="I813" s="110"/>
      <c r="K813" s="110"/>
    </row>
    <row r="814" ht="15.75" customHeight="1">
      <c r="B814" s="173"/>
      <c r="F814" s="108"/>
      <c r="G814" s="112"/>
      <c r="I814" s="110"/>
      <c r="K814" s="110"/>
    </row>
    <row r="815" ht="15.75" customHeight="1">
      <c r="B815" s="173"/>
      <c r="F815" s="108"/>
      <c r="G815" s="112"/>
      <c r="I815" s="110"/>
      <c r="K815" s="110"/>
    </row>
    <row r="816" ht="15.75" customHeight="1">
      <c r="B816" s="173"/>
      <c r="F816" s="108"/>
      <c r="G816" s="112"/>
      <c r="I816" s="110"/>
      <c r="K816" s="110"/>
    </row>
    <row r="817" ht="15.75" customHeight="1">
      <c r="B817" s="173"/>
      <c r="F817" s="108"/>
      <c r="G817" s="112"/>
      <c r="I817" s="110"/>
      <c r="K817" s="110"/>
    </row>
    <row r="818" ht="15.75" customHeight="1">
      <c r="B818" s="173"/>
      <c r="F818" s="108"/>
      <c r="G818" s="112"/>
      <c r="I818" s="110"/>
      <c r="K818" s="110"/>
    </row>
    <row r="819" ht="15.75" customHeight="1">
      <c r="B819" s="173"/>
      <c r="F819" s="108"/>
      <c r="G819" s="112"/>
      <c r="I819" s="110"/>
      <c r="K819" s="110"/>
    </row>
    <row r="820" ht="15.75" customHeight="1">
      <c r="B820" s="173"/>
      <c r="F820" s="108"/>
      <c r="G820" s="112"/>
      <c r="I820" s="110"/>
      <c r="K820" s="110"/>
    </row>
    <row r="821" ht="15.75" customHeight="1">
      <c r="B821" s="173"/>
      <c r="F821" s="108"/>
      <c r="G821" s="112"/>
      <c r="I821" s="110"/>
      <c r="K821" s="110"/>
    </row>
    <row r="822" ht="15.75" customHeight="1">
      <c r="B822" s="173"/>
      <c r="F822" s="108"/>
      <c r="G822" s="112"/>
      <c r="I822" s="110"/>
      <c r="K822" s="110"/>
    </row>
    <row r="823" ht="15.75" customHeight="1">
      <c r="B823" s="173"/>
      <c r="F823" s="108"/>
      <c r="G823" s="112"/>
      <c r="I823" s="110"/>
      <c r="K823" s="110"/>
    </row>
    <row r="824" ht="15.75" customHeight="1">
      <c r="B824" s="173"/>
      <c r="F824" s="108"/>
      <c r="G824" s="112"/>
      <c r="I824" s="110"/>
      <c r="K824" s="110"/>
    </row>
    <row r="825" ht="15.75" customHeight="1">
      <c r="B825" s="173"/>
      <c r="F825" s="108"/>
      <c r="G825" s="112"/>
      <c r="I825" s="110"/>
      <c r="K825" s="110"/>
    </row>
    <row r="826" ht="15.75" customHeight="1">
      <c r="B826" s="173"/>
      <c r="F826" s="108"/>
      <c r="G826" s="112"/>
      <c r="I826" s="110"/>
      <c r="K826" s="110"/>
    </row>
    <row r="827" ht="15.75" customHeight="1">
      <c r="B827" s="173"/>
      <c r="F827" s="108"/>
      <c r="G827" s="112"/>
      <c r="I827" s="110"/>
      <c r="K827" s="110"/>
    </row>
    <row r="828" ht="15.75" customHeight="1">
      <c r="B828" s="173"/>
      <c r="F828" s="108"/>
      <c r="G828" s="112"/>
      <c r="I828" s="110"/>
      <c r="K828" s="110"/>
    </row>
    <row r="829" ht="15.75" customHeight="1">
      <c r="B829" s="173"/>
      <c r="F829" s="108"/>
      <c r="G829" s="112"/>
      <c r="I829" s="110"/>
      <c r="K829" s="110"/>
    </row>
    <row r="830" ht="15.75" customHeight="1">
      <c r="B830" s="173"/>
      <c r="F830" s="108"/>
      <c r="G830" s="112"/>
      <c r="I830" s="110"/>
      <c r="K830" s="110"/>
    </row>
    <row r="831" ht="15.75" customHeight="1">
      <c r="B831" s="173"/>
      <c r="F831" s="108"/>
      <c r="G831" s="112"/>
      <c r="I831" s="110"/>
      <c r="K831" s="110"/>
    </row>
    <row r="832" ht="15.75" customHeight="1">
      <c r="B832" s="173"/>
      <c r="F832" s="108"/>
      <c r="G832" s="112"/>
      <c r="I832" s="110"/>
      <c r="K832" s="110"/>
    </row>
    <row r="833" ht="15.75" customHeight="1">
      <c r="B833" s="173"/>
      <c r="F833" s="108"/>
      <c r="G833" s="112"/>
      <c r="I833" s="110"/>
      <c r="K833" s="110"/>
    </row>
    <row r="834" ht="15.75" customHeight="1">
      <c r="B834" s="173"/>
      <c r="F834" s="108"/>
      <c r="G834" s="112"/>
      <c r="I834" s="110"/>
      <c r="K834" s="110"/>
    </row>
    <row r="835" ht="15.75" customHeight="1">
      <c r="B835" s="173"/>
      <c r="F835" s="108"/>
      <c r="G835" s="112"/>
      <c r="I835" s="110"/>
      <c r="K835" s="110"/>
    </row>
    <row r="836" ht="15.75" customHeight="1">
      <c r="B836" s="173"/>
      <c r="F836" s="108"/>
      <c r="G836" s="112"/>
      <c r="I836" s="110"/>
      <c r="K836" s="110"/>
    </row>
    <row r="837" ht="15.75" customHeight="1">
      <c r="B837" s="173"/>
      <c r="F837" s="108"/>
      <c r="G837" s="112"/>
      <c r="I837" s="110"/>
      <c r="K837" s="110"/>
    </row>
    <row r="838" ht="15.75" customHeight="1">
      <c r="B838" s="173"/>
      <c r="F838" s="108"/>
      <c r="G838" s="112"/>
      <c r="I838" s="110"/>
      <c r="K838" s="110"/>
    </row>
    <row r="839" ht="15.75" customHeight="1">
      <c r="B839" s="173"/>
      <c r="F839" s="108"/>
      <c r="G839" s="112"/>
      <c r="I839" s="110"/>
      <c r="K839" s="110"/>
    </row>
    <row r="840" ht="15.75" customHeight="1">
      <c r="B840" s="173"/>
      <c r="F840" s="108"/>
      <c r="G840" s="112"/>
      <c r="I840" s="110"/>
      <c r="K840" s="110"/>
    </row>
    <row r="841" ht="15.75" customHeight="1">
      <c r="B841" s="173"/>
      <c r="F841" s="108"/>
      <c r="G841" s="112"/>
      <c r="I841" s="110"/>
      <c r="K841" s="110"/>
    </row>
    <row r="842" ht="15.75" customHeight="1">
      <c r="B842" s="173"/>
      <c r="F842" s="108"/>
      <c r="G842" s="112"/>
      <c r="I842" s="110"/>
      <c r="K842" s="110"/>
    </row>
    <row r="843" ht="15.75" customHeight="1">
      <c r="B843" s="173"/>
      <c r="F843" s="108"/>
      <c r="G843" s="112"/>
      <c r="I843" s="110"/>
      <c r="K843" s="110"/>
    </row>
    <row r="844" ht="15.75" customHeight="1">
      <c r="B844" s="173"/>
      <c r="F844" s="108"/>
      <c r="G844" s="112"/>
      <c r="I844" s="110"/>
      <c r="K844" s="110"/>
    </row>
    <row r="845" ht="15.75" customHeight="1">
      <c r="B845" s="173"/>
      <c r="F845" s="108"/>
      <c r="G845" s="112"/>
      <c r="I845" s="110"/>
      <c r="K845" s="110"/>
    </row>
    <row r="846" ht="15.75" customHeight="1">
      <c r="B846" s="173"/>
      <c r="F846" s="108"/>
      <c r="G846" s="112"/>
      <c r="I846" s="110"/>
      <c r="K846" s="110"/>
    </row>
    <row r="847" ht="15.75" customHeight="1">
      <c r="B847" s="173"/>
      <c r="F847" s="108"/>
      <c r="G847" s="112"/>
      <c r="I847" s="110"/>
      <c r="K847" s="110"/>
    </row>
    <row r="848" ht="15.75" customHeight="1">
      <c r="B848" s="173"/>
      <c r="F848" s="108"/>
      <c r="G848" s="112"/>
      <c r="I848" s="110"/>
      <c r="K848" s="110"/>
    </row>
    <row r="849" ht="15.75" customHeight="1">
      <c r="B849" s="173"/>
      <c r="F849" s="108"/>
      <c r="G849" s="112"/>
      <c r="I849" s="110"/>
      <c r="K849" s="110"/>
    </row>
    <row r="850" ht="15.75" customHeight="1">
      <c r="B850" s="173"/>
      <c r="F850" s="108"/>
      <c r="G850" s="112"/>
      <c r="I850" s="110"/>
      <c r="K850" s="110"/>
    </row>
    <row r="851" ht="15.75" customHeight="1">
      <c r="B851" s="173"/>
      <c r="F851" s="108"/>
      <c r="G851" s="112"/>
      <c r="I851" s="110"/>
      <c r="K851" s="110"/>
    </row>
    <row r="852" ht="15.75" customHeight="1">
      <c r="B852" s="173"/>
      <c r="F852" s="108"/>
      <c r="G852" s="112"/>
      <c r="I852" s="110"/>
      <c r="K852" s="110"/>
    </row>
    <row r="853" ht="15.75" customHeight="1">
      <c r="B853" s="173"/>
      <c r="F853" s="108"/>
      <c r="G853" s="112"/>
      <c r="I853" s="110"/>
      <c r="K853" s="110"/>
    </row>
    <row r="854" ht="15.75" customHeight="1">
      <c r="B854" s="173"/>
      <c r="F854" s="108"/>
      <c r="G854" s="112"/>
      <c r="I854" s="110"/>
      <c r="K854" s="110"/>
    </row>
    <row r="855" ht="15.75" customHeight="1">
      <c r="B855" s="173"/>
      <c r="F855" s="108"/>
      <c r="G855" s="112"/>
      <c r="I855" s="110"/>
      <c r="K855" s="110"/>
    </row>
    <row r="856" ht="15.75" customHeight="1">
      <c r="B856" s="173"/>
      <c r="F856" s="108"/>
      <c r="G856" s="112"/>
      <c r="I856" s="110"/>
      <c r="K856" s="110"/>
    </row>
    <row r="857" ht="15.75" customHeight="1">
      <c r="B857" s="173"/>
      <c r="F857" s="108"/>
      <c r="G857" s="112"/>
      <c r="I857" s="110"/>
      <c r="K857" s="110"/>
    </row>
    <row r="858" ht="15.75" customHeight="1">
      <c r="B858" s="173"/>
      <c r="F858" s="108"/>
      <c r="G858" s="112"/>
      <c r="I858" s="110"/>
      <c r="K858" s="110"/>
    </row>
    <row r="859" ht="15.75" customHeight="1">
      <c r="B859" s="173"/>
      <c r="F859" s="108"/>
      <c r="G859" s="112"/>
      <c r="I859" s="110"/>
      <c r="K859" s="110"/>
    </row>
    <row r="860" ht="15.75" customHeight="1">
      <c r="B860" s="173"/>
      <c r="F860" s="108"/>
      <c r="G860" s="112"/>
      <c r="I860" s="110"/>
      <c r="K860" s="110"/>
    </row>
    <row r="861" ht="15.75" customHeight="1">
      <c r="B861" s="173"/>
      <c r="F861" s="108"/>
      <c r="G861" s="112"/>
      <c r="I861" s="110"/>
      <c r="K861" s="110"/>
    </row>
    <row r="862" ht="15.75" customHeight="1">
      <c r="B862" s="173"/>
      <c r="F862" s="108"/>
      <c r="G862" s="112"/>
      <c r="I862" s="110"/>
      <c r="K862" s="110"/>
    </row>
    <row r="863" ht="15.75" customHeight="1">
      <c r="B863" s="173"/>
      <c r="F863" s="108"/>
      <c r="G863" s="112"/>
      <c r="I863" s="110"/>
      <c r="K863" s="110"/>
    </row>
    <row r="864" ht="15.75" customHeight="1">
      <c r="B864" s="173"/>
      <c r="F864" s="108"/>
      <c r="G864" s="112"/>
      <c r="I864" s="110"/>
      <c r="K864" s="110"/>
    </row>
    <row r="865" ht="15.75" customHeight="1">
      <c r="B865" s="173"/>
      <c r="F865" s="108"/>
      <c r="G865" s="112"/>
      <c r="I865" s="110"/>
      <c r="K865" s="110"/>
    </row>
    <row r="866" ht="15.75" customHeight="1">
      <c r="B866" s="173"/>
      <c r="F866" s="108"/>
      <c r="G866" s="112"/>
      <c r="I866" s="110"/>
      <c r="K866" s="110"/>
    </row>
    <row r="867" ht="15.75" customHeight="1">
      <c r="B867" s="173"/>
      <c r="F867" s="108"/>
      <c r="G867" s="112"/>
      <c r="I867" s="110"/>
      <c r="K867" s="110"/>
    </row>
    <row r="868" ht="15.75" customHeight="1">
      <c r="B868" s="173"/>
      <c r="F868" s="108"/>
      <c r="G868" s="112"/>
      <c r="I868" s="110"/>
      <c r="K868" s="110"/>
    </row>
    <row r="869" ht="15.75" customHeight="1">
      <c r="B869" s="173"/>
      <c r="F869" s="108"/>
      <c r="G869" s="112"/>
      <c r="I869" s="110"/>
      <c r="K869" s="110"/>
    </row>
    <row r="870" ht="15.75" customHeight="1">
      <c r="B870" s="173"/>
      <c r="F870" s="108"/>
      <c r="G870" s="112"/>
      <c r="I870" s="110"/>
      <c r="K870" s="110"/>
    </row>
    <row r="871" ht="15.75" customHeight="1">
      <c r="B871" s="173"/>
      <c r="F871" s="108"/>
      <c r="G871" s="112"/>
      <c r="I871" s="110"/>
      <c r="K871" s="110"/>
    </row>
    <row r="872" ht="15.75" customHeight="1">
      <c r="B872" s="173"/>
      <c r="F872" s="108"/>
      <c r="G872" s="112"/>
      <c r="I872" s="110"/>
      <c r="K872" s="110"/>
    </row>
    <row r="873" ht="15.75" customHeight="1">
      <c r="B873" s="173"/>
      <c r="F873" s="108"/>
      <c r="G873" s="112"/>
      <c r="I873" s="110"/>
      <c r="K873" s="110"/>
    </row>
    <row r="874" ht="15.75" customHeight="1">
      <c r="B874" s="173"/>
      <c r="F874" s="108"/>
      <c r="G874" s="112"/>
      <c r="I874" s="110"/>
      <c r="K874" s="110"/>
    </row>
    <row r="875" ht="15.75" customHeight="1">
      <c r="B875" s="173"/>
      <c r="F875" s="108"/>
      <c r="G875" s="112"/>
      <c r="I875" s="110"/>
      <c r="K875" s="110"/>
    </row>
    <row r="876" ht="15.75" customHeight="1">
      <c r="B876" s="173"/>
      <c r="F876" s="108"/>
      <c r="G876" s="112"/>
      <c r="I876" s="110"/>
      <c r="K876" s="110"/>
    </row>
    <row r="877" ht="15.75" customHeight="1">
      <c r="B877" s="173"/>
      <c r="F877" s="108"/>
      <c r="G877" s="112"/>
      <c r="I877" s="110"/>
      <c r="K877" s="110"/>
    </row>
    <row r="878" ht="15.75" customHeight="1">
      <c r="B878" s="173"/>
      <c r="F878" s="108"/>
      <c r="G878" s="112"/>
      <c r="I878" s="110"/>
      <c r="K878" s="110"/>
    </row>
    <row r="879" ht="15.75" customHeight="1">
      <c r="B879" s="173"/>
      <c r="F879" s="108"/>
      <c r="G879" s="112"/>
      <c r="I879" s="110"/>
      <c r="K879" s="110"/>
    </row>
    <row r="880" ht="15.75" customHeight="1">
      <c r="B880" s="173"/>
      <c r="F880" s="108"/>
      <c r="G880" s="112"/>
      <c r="I880" s="110"/>
      <c r="K880" s="110"/>
    </row>
    <row r="881" ht="15.75" customHeight="1">
      <c r="B881" s="173"/>
      <c r="F881" s="108"/>
      <c r="G881" s="112"/>
      <c r="I881" s="110"/>
      <c r="K881" s="110"/>
    </row>
    <row r="882" ht="15.75" customHeight="1">
      <c r="B882" s="173"/>
      <c r="F882" s="108"/>
      <c r="G882" s="112"/>
      <c r="I882" s="110"/>
      <c r="K882" s="110"/>
    </row>
    <row r="883" ht="15.75" customHeight="1">
      <c r="B883" s="173"/>
      <c r="F883" s="108"/>
      <c r="G883" s="112"/>
      <c r="I883" s="110"/>
      <c r="K883" s="110"/>
    </row>
    <row r="884" ht="15.75" customHeight="1">
      <c r="B884" s="173"/>
      <c r="F884" s="108"/>
      <c r="G884" s="112"/>
      <c r="I884" s="110"/>
      <c r="K884" s="110"/>
    </row>
    <row r="885" ht="15.75" customHeight="1">
      <c r="B885" s="173"/>
      <c r="F885" s="108"/>
      <c r="G885" s="112"/>
      <c r="I885" s="110"/>
      <c r="K885" s="110"/>
    </row>
    <row r="886" ht="15.75" customHeight="1">
      <c r="B886" s="173"/>
      <c r="F886" s="108"/>
      <c r="G886" s="112"/>
      <c r="I886" s="110"/>
      <c r="K886" s="110"/>
    </row>
    <row r="887" ht="15.75" customHeight="1">
      <c r="B887" s="173"/>
      <c r="F887" s="108"/>
      <c r="G887" s="112"/>
      <c r="I887" s="110"/>
      <c r="K887" s="110"/>
    </row>
    <row r="888" ht="15.75" customHeight="1">
      <c r="B888" s="173"/>
      <c r="F888" s="108"/>
      <c r="G888" s="112"/>
      <c r="I888" s="110"/>
      <c r="K888" s="110"/>
    </row>
    <row r="889" ht="15.75" customHeight="1">
      <c r="B889" s="173"/>
      <c r="F889" s="108"/>
      <c r="G889" s="112"/>
      <c r="I889" s="110"/>
      <c r="K889" s="110"/>
    </row>
    <row r="890" ht="15.75" customHeight="1">
      <c r="B890" s="173"/>
      <c r="F890" s="108"/>
      <c r="G890" s="112"/>
      <c r="I890" s="110"/>
      <c r="K890" s="110"/>
    </row>
    <row r="891" ht="15.75" customHeight="1">
      <c r="B891" s="173"/>
      <c r="F891" s="108"/>
      <c r="G891" s="112"/>
      <c r="I891" s="110"/>
      <c r="K891" s="110"/>
    </row>
    <row r="892" ht="15.75" customHeight="1">
      <c r="B892" s="173"/>
      <c r="F892" s="108"/>
      <c r="G892" s="112"/>
      <c r="I892" s="110"/>
      <c r="K892" s="110"/>
    </row>
    <row r="893" ht="15.75" customHeight="1">
      <c r="B893" s="173"/>
      <c r="F893" s="108"/>
      <c r="G893" s="112"/>
      <c r="I893" s="110"/>
      <c r="K893" s="110"/>
    </row>
    <row r="894" ht="15.75" customHeight="1">
      <c r="B894" s="173"/>
      <c r="F894" s="108"/>
      <c r="G894" s="112"/>
      <c r="I894" s="110"/>
      <c r="K894" s="110"/>
    </row>
    <row r="895" ht="15.75" customHeight="1">
      <c r="B895" s="173"/>
      <c r="F895" s="108"/>
      <c r="G895" s="112"/>
      <c r="I895" s="110"/>
      <c r="K895" s="110"/>
    </row>
    <row r="896" ht="15.75" customHeight="1">
      <c r="B896" s="173"/>
      <c r="F896" s="108"/>
      <c r="G896" s="112"/>
      <c r="I896" s="110"/>
      <c r="K896" s="110"/>
    </row>
    <row r="897" ht="15.75" customHeight="1">
      <c r="B897" s="173"/>
      <c r="F897" s="108"/>
      <c r="G897" s="112"/>
      <c r="I897" s="110"/>
      <c r="K897" s="110"/>
    </row>
    <row r="898" ht="15.75" customHeight="1">
      <c r="B898" s="173"/>
      <c r="F898" s="108"/>
      <c r="G898" s="112"/>
      <c r="I898" s="110"/>
      <c r="K898" s="110"/>
    </row>
    <row r="899" ht="15.75" customHeight="1">
      <c r="B899" s="173"/>
      <c r="F899" s="108"/>
      <c r="G899" s="112"/>
      <c r="I899" s="110"/>
      <c r="K899" s="110"/>
    </row>
    <row r="900" ht="15.75" customHeight="1">
      <c r="B900" s="173"/>
      <c r="F900" s="108"/>
      <c r="G900" s="112"/>
      <c r="I900" s="110"/>
      <c r="K900" s="110"/>
    </row>
    <row r="901" ht="15.75" customHeight="1">
      <c r="B901" s="173"/>
      <c r="F901" s="108"/>
      <c r="G901" s="112"/>
      <c r="I901" s="110"/>
      <c r="K901" s="110"/>
    </row>
    <row r="902" ht="15.75" customHeight="1">
      <c r="B902" s="173"/>
      <c r="F902" s="108"/>
      <c r="G902" s="112"/>
      <c r="I902" s="110"/>
      <c r="K902" s="110"/>
    </row>
    <row r="903" ht="15.75" customHeight="1">
      <c r="B903" s="173"/>
      <c r="F903" s="108"/>
      <c r="G903" s="112"/>
      <c r="I903" s="110"/>
      <c r="K903" s="110"/>
    </row>
    <row r="904" ht="15.75" customHeight="1">
      <c r="B904" s="173"/>
      <c r="F904" s="108"/>
      <c r="G904" s="112"/>
      <c r="I904" s="110"/>
      <c r="K904" s="110"/>
    </row>
    <row r="905" ht="15.75" customHeight="1">
      <c r="B905" s="173"/>
      <c r="F905" s="108"/>
      <c r="G905" s="112"/>
      <c r="I905" s="110"/>
      <c r="K905" s="110"/>
    </row>
    <row r="906" ht="15.75" customHeight="1">
      <c r="B906" s="173"/>
      <c r="F906" s="108"/>
      <c r="G906" s="112"/>
      <c r="I906" s="110"/>
      <c r="K906" s="110"/>
    </row>
    <row r="907" ht="15.75" customHeight="1">
      <c r="B907" s="173"/>
      <c r="F907" s="108"/>
      <c r="G907" s="112"/>
      <c r="I907" s="110"/>
      <c r="K907" s="110"/>
    </row>
    <row r="908" ht="15.75" customHeight="1">
      <c r="B908" s="173"/>
      <c r="F908" s="108"/>
      <c r="G908" s="112"/>
      <c r="I908" s="110"/>
      <c r="K908" s="110"/>
    </row>
    <row r="909" ht="15.75" customHeight="1">
      <c r="B909" s="173"/>
      <c r="F909" s="108"/>
      <c r="G909" s="112"/>
      <c r="I909" s="110"/>
      <c r="K909" s="110"/>
    </row>
    <row r="910" ht="15.75" customHeight="1">
      <c r="B910" s="173"/>
      <c r="F910" s="108"/>
      <c r="G910" s="112"/>
      <c r="I910" s="110"/>
      <c r="K910" s="110"/>
    </row>
    <row r="911" ht="15.75" customHeight="1">
      <c r="B911" s="173"/>
      <c r="F911" s="108"/>
      <c r="G911" s="112"/>
      <c r="I911" s="110"/>
      <c r="K911" s="110"/>
    </row>
    <row r="912" ht="15.75" customHeight="1">
      <c r="B912" s="173"/>
      <c r="F912" s="108"/>
      <c r="G912" s="112"/>
      <c r="I912" s="110"/>
      <c r="K912" s="110"/>
    </row>
    <row r="913" ht="15.75" customHeight="1">
      <c r="B913" s="173"/>
      <c r="F913" s="108"/>
      <c r="G913" s="112"/>
      <c r="I913" s="110"/>
      <c r="K913" s="110"/>
    </row>
    <row r="914" ht="15.75" customHeight="1">
      <c r="B914" s="173"/>
      <c r="F914" s="108"/>
      <c r="G914" s="112"/>
      <c r="I914" s="110"/>
      <c r="K914" s="110"/>
    </row>
    <row r="915" ht="15.75" customHeight="1">
      <c r="B915" s="173"/>
      <c r="F915" s="108"/>
      <c r="G915" s="112"/>
      <c r="I915" s="110"/>
      <c r="K915" s="110"/>
    </row>
    <row r="916" ht="15.75" customHeight="1">
      <c r="B916" s="173"/>
      <c r="F916" s="108"/>
      <c r="G916" s="112"/>
      <c r="I916" s="110"/>
      <c r="K916" s="110"/>
    </row>
    <row r="917" ht="15.75" customHeight="1">
      <c r="B917" s="173"/>
      <c r="F917" s="108"/>
      <c r="G917" s="112"/>
      <c r="I917" s="110"/>
      <c r="K917" s="110"/>
    </row>
    <row r="918" ht="15.75" customHeight="1">
      <c r="B918" s="173"/>
      <c r="F918" s="108"/>
      <c r="G918" s="112"/>
      <c r="I918" s="110"/>
      <c r="K918" s="110"/>
    </row>
    <row r="919" ht="15.75" customHeight="1">
      <c r="B919" s="173"/>
      <c r="F919" s="108"/>
      <c r="G919" s="112"/>
      <c r="I919" s="110"/>
      <c r="K919" s="110"/>
    </row>
    <row r="920" ht="15.75" customHeight="1">
      <c r="B920" s="173"/>
      <c r="F920" s="108"/>
      <c r="G920" s="112"/>
      <c r="I920" s="110"/>
      <c r="K920" s="110"/>
    </row>
    <row r="921" ht="15.75" customHeight="1">
      <c r="B921" s="173"/>
      <c r="F921" s="108"/>
      <c r="G921" s="112"/>
      <c r="I921" s="110"/>
      <c r="K921" s="110"/>
    </row>
    <row r="922" ht="15.75" customHeight="1">
      <c r="B922" s="173"/>
      <c r="F922" s="108"/>
      <c r="G922" s="112"/>
      <c r="I922" s="110"/>
      <c r="K922" s="110"/>
    </row>
    <row r="923" ht="15.75" customHeight="1">
      <c r="B923" s="173"/>
      <c r="F923" s="108"/>
      <c r="G923" s="112"/>
      <c r="I923" s="110"/>
      <c r="K923" s="110"/>
    </row>
    <row r="924" ht="15.75" customHeight="1">
      <c r="B924" s="173"/>
      <c r="F924" s="108"/>
      <c r="G924" s="112"/>
      <c r="I924" s="110"/>
      <c r="K924" s="110"/>
    </row>
    <row r="925" ht="15.75" customHeight="1">
      <c r="B925" s="173"/>
      <c r="F925" s="108"/>
      <c r="G925" s="112"/>
      <c r="I925" s="110"/>
      <c r="K925" s="110"/>
    </row>
    <row r="926" ht="15.75" customHeight="1">
      <c r="B926" s="173"/>
      <c r="F926" s="108"/>
      <c r="G926" s="112"/>
      <c r="I926" s="110"/>
      <c r="K926" s="110"/>
    </row>
    <row r="927" ht="15.75" customHeight="1">
      <c r="B927" s="173"/>
      <c r="F927" s="108"/>
      <c r="G927" s="112"/>
      <c r="I927" s="110"/>
      <c r="K927" s="110"/>
    </row>
    <row r="928" ht="15.75" customHeight="1">
      <c r="B928" s="173"/>
      <c r="F928" s="108"/>
      <c r="G928" s="112"/>
      <c r="I928" s="110"/>
      <c r="K928" s="110"/>
    </row>
    <row r="929" ht="15.75" customHeight="1">
      <c r="B929" s="173"/>
      <c r="F929" s="108"/>
      <c r="G929" s="112"/>
      <c r="I929" s="110"/>
      <c r="K929" s="110"/>
    </row>
    <row r="930" ht="15.75" customHeight="1">
      <c r="B930" s="173"/>
      <c r="F930" s="108"/>
      <c r="G930" s="112"/>
      <c r="I930" s="110"/>
      <c r="K930" s="110"/>
    </row>
    <row r="931" ht="15.75" customHeight="1">
      <c r="B931" s="173"/>
      <c r="F931" s="108"/>
      <c r="G931" s="112"/>
      <c r="I931" s="110"/>
      <c r="K931" s="110"/>
    </row>
    <row r="932" ht="15.75" customHeight="1">
      <c r="B932" s="173"/>
      <c r="F932" s="108"/>
      <c r="G932" s="112"/>
      <c r="I932" s="110"/>
      <c r="K932" s="110"/>
    </row>
    <row r="933" ht="15.75" customHeight="1">
      <c r="B933" s="173"/>
      <c r="F933" s="108"/>
      <c r="G933" s="112"/>
      <c r="I933" s="110"/>
      <c r="K933" s="110"/>
    </row>
    <row r="934" ht="15.75" customHeight="1">
      <c r="B934" s="173"/>
      <c r="F934" s="108"/>
      <c r="G934" s="112"/>
      <c r="I934" s="110"/>
      <c r="K934" s="110"/>
    </row>
    <row r="935" ht="15.75" customHeight="1">
      <c r="B935" s="173"/>
      <c r="F935" s="108"/>
      <c r="G935" s="112"/>
      <c r="I935" s="110"/>
      <c r="K935" s="110"/>
    </row>
    <row r="936" ht="15.75" customHeight="1">
      <c r="B936" s="173"/>
      <c r="F936" s="108"/>
      <c r="G936" s="112"/>
      <c r="I936" s="110"/>
      <c r="K936" s="110"/>
    </row>
    <row r="937" ht="15.75" customHeight="1">
      <c r="B937" s="173"/>
      <c r="F937" s="108"/>
      <c r="G937" s="112"/>
      <c r="I937" s="110"/>
      <c r="K937" s="110"/>
    </row>
    <row r="938" ht="15.75" customHeight="1">
      <c r="B938" s="173"/>
      <c r="F938" s="108"/>
      <c r="G938" s="112"/>
      <c r="I938" s="110"/>
      <c r="K938" s="110"/>
    </row>
    <row r="939" ht="15.75" customHeight="1">
      <c r="B939" s="173"/>
      <c r="F939" s="108"/>
      <c r="G939" s="112"/>
      <c r="I939" s="110"/>
      <c r="K939" s="110"/>
    </row>
    <row r="940" ht="15.75" customHeight="1">
      <c r="B940" s="173"/>
      <c r="F940" s="108"/>
      <c r="G940" s="112"/>
      <c r="I940" s="110"/>
      <c r="K940" s="110"/>
    </row>
    <row r="941" ht="15.75" customHeight="1">
      <c r="B941" s="173"/>
      <c r="F941" s="108"/>
      <c r="G941" s="112"/>
      <c r="I941" s="110"/>
      <c r="K941" s="110"/>
    </row>
    <row r="942" ht="15.75" customHeight="1">
      <c r="B942" s="173"/>
      <c r="F942" s="108"/>
      <c r="G942" s="112"/>
      <c r="I942" s="110"/>
      <c r="K942" s="110"/>
    </row>
    <row r="943" ht="15.75" customHeight="1">
      <c r="B943" s="173"/>
      <c r="F943" s="108"/>
      <c r="G943" s="112"/>
      <c r="I943" s="110"/>
      <c r="K943" s="110"/>
    </row>
    <row r="944" ht="15.75" customHeight="1">
      <c r="B944" s="173"/>
      <c r="F944" s="108"/>
      <c r="G944" s="112"/>
      <c r="I944" s="110"/>
      <c r="K944" s="110"/>
    </row>
    <row r="945" ht="15.75" customHeight="1">
      <c r="B945" s="173"/>
      <c r="F945" s="108"/>
      <c r="G945" s="112"/>
      <c r="I945" s="110"/>
      <c r="K945" s="110"/>
    </row>
    <row r="946" ht="15.75" customHeight="1">
      <c r="B946" s="173"/>
      <c r="F946" s="108"/>
      <c r="G946" s="112"/>
      <c r="I946" s="110"/>
      <c r="K946" s="110"/>
    </row>
    <row r="947" ht="15.75" customHeight="1">
      <c r="B947" s="173"/>
      <c r="F947" s="108"/>
      <c r="G947" s="112"/>
      <c r="I947" s="110"/>
      <c r="K947" s="110"/>
    </row>
    <row r="948" ht="15.75" customHeight="1">
      <c r="B948" s="173"/>
      <c r="F948" s="108"/>
      <c r="G948" s="112"/>
      <c r="I948" s="110"/>
      <c r="K948" s="110"/>
    </row>
    <row r="949" ht="15.75" customHeight="1">
      <c r="B949" s="173"/>
      <c r="F949" s="108"/>
      <c r="G949" s="112"/>
      <c r="I949" s="110"/>
      <c r="K949" s="110"/>
    </row>
    <row r="950" ht="15.75" customHeight="1">
      <c r="B950" s="173"/>
      <c r="F950" s="108"/>
      <c r="G950" s="112"/>
      <c r="I950" s="110"/>
      <c r="K950" s="110"/>
    </row>
    <row r="951" ht="15.75" customHeight="1">
      <c r="B951" s="173"/>
      <c r="F951" s="108"/>
      <c r="G951" s="112"/>
      <c r="I951" s="110"/>
      <c r="K951" s="110"/>
    </row>
    <row r="952" ht="15.75" customHeight="1">
      <c r="B952" s="173"/>
      <c r="F952" s="108"/>
      <c r="G952" s="112"/>
      <c r="I952" s="110"/>
      <c r="K952" s="110"/>
    </row>
    <row r="953" ht="15.75" customHeight="1">
      <c r="B953" s="173"/>
      <c r="F953" s="108"/>
      <c r="G953" s="112"/>
      <c r="I953" s="110"/>
      <c r="K953" s="110"/>
    </row>
    <row r="954" ht="15.75" customHeight="1">
      <c r="B954" s="173"/>
      <c r="F954" s="108"/>
      <c r="G954" s="112"/>
      <c r="I954" s="110"/>
      <c r="K954" s="110"/>
    </row>
    <row r="955" ht="15.75" customHeight="1">
      <c r="B955" s="173"/>
      <c r="F955" s="108"/>
      <c r="G955" s="112"/>
      <c r="I955" s="110"/>
      <c r="K955" s="110"/>
    </row>
    <row r="956" ht="15.75" customHeight="1">
      <c r="B956" s="173"/>
      <c r="F956" s="108"/>
      <c r="G956" s="112"/>
      <c r="I956" s="110"/>
      <c r="K956" s="110"/>
    </row>
    <row r="957" ht="15.75" customHeight="1">
      <c r="B957" s="173"/>
      <c r="F957" s="108"/>
      <c r="G957" s="112"/>
      <c r="I957" s="110"/>
      <c r="K957" s="110"/>
    </row>
    <row r="958" ht="15.75" customHeight="1">
      <c r="B958" s="173"/>
      <c r="F958" s="108"/>
      <c r="G958" s="112"/>
      <c r="I958" s="110"/>
      <c r="K958" s="110"/>
    </row>
    <row r="959" ht="15.75" customHeight="1">
      <c r="B959" s="173"/>
      <c r="F959" s="108"/>
      <c r="G959" s="112"/>
      <c r="I959" s="110"/>
      <c r="K959" s="110"/>
    </row>
    <row r="960" ht="15.75" customHeight="1">
      <c r="B960" s="173"/>
      <c r="F960" s="108"/>
      <c r="G960" s="112"/>
      <c r="I960" s="110"/>
      <c r="K960" s="110"/>
    </row>
    <row r="961" ht="15.75" customHeight="1">
      <c r="B961" s="173"/>
      <c r="F961" s="108"/>
      <c r="G961" s="112"/>
      <c r="I961" s="110"/>
      <c r="K961" s="110"/>
    </row>
    <row r="962" ht="15.75" customHeight="1">
      <c r="B962" s="173"/>
      <c r="F962" s="108"/>
      <c r="G962" s="112"/>
      <c r="I962" s="110"/>
      <c r="K962" s="110"/>
    </row>
    <row r="963" ht="15.75" customHeight="1">
      <c r="B963" s="173"/>
      <c r="F963" s="108"/>
      <c r="G963" s="112"/>
      <c r="I963" s="110"/>
      <c r="K963" s="110"/>
    </row>
    <row r="964" ht="15.75" customHeight="1">
      <c r="B964" s="173"/>
      <c r="F964" s="108"/>
      <c r="G964" s="112"/>
      <c r="I964" s="110"/>
      <c r="K964" s="110"/>
    </row>
    <row r="965" ht="15.75" customHeight="1">
      <c r="B965" s="173"/>
      <c r="F965" s="108"/>
      <c r="G965" s="112"/>
      <c r="I965" s="110"/>
      <c r="K965" s="110"/>
    </row>
    <row r="966" ht="15.75" customHeight="1">
      <c r="B966" s="173"/>
      <c r="F966" s="108"/>
      <c r="G966" s="112"/>
      <c r="I966" s="110"/>
      <c r="K966" s="110"/>
    </row>
    <row r="967" ht="15.75" customHeight="1">
      <c r="B967" s="173"/>
      <c r="F967" s="108"/>
      <c r="G967" s="112"/>
      <c r="I967" s="110"/>
      <c r="K967" s="110"/>
    </row>
    <row r="968" ht="15.75" customHeight="1">
      <c r="B968" s="173"/>
      <c r="F968" s="108"/>
      <c r="G968" s="112"/>
      <c r="I968" s="110"/>
      <c r="K968" s="110"/>
    </row>
    <row r="969" ht="15.75" customHeight="1">
      <c r="B969" s="173"/>
      <c r="F969" s="108"/>
      <c r="G969" s="112"/>
      <c r="I969" s="110"/>
      <c r="K969" s="110"/>
    </row>
    <row r="970" ht="15.75" customHeight="1">
      <c r="B970" s="173"/>
      <c r="F970" s="108"/>
      <c r="G970" s="112"/>
      <c r="I970" s="110"/>
      <c r="K970" s="110"/>
    </row>
    <row r="971" ht="15.75" customHeight="1">
      <c r="B971" s="173"/>
      <c r="F971" s="108"/>
      <c r="G971" s="112"/>
      <c r="I971" s="110"/>
      <c r="K971" s="110"/>
    </row>
    <row r="972" ht="15.75" customHeight="1">
      <c r="B972" s="173"/>
      <c r="F972" s="108"/>
      <c r="G972" s="112"/>
      <c r="I972" s="110"/>
      <c r="K972" s="110"/>
    </row>
    <row r="973" ht="15.75" customHeight="1">
      <c r="B973" s="173"/>
      <c r="F973" s="108"/>
      <c r="G973" s="112"/>
      <c r="I973" s="110"/>
      <c r="K973" s="110"/>
    </row>
    <row r="974" ht="15.75" customHeight="1">
      <c r="B974" s="173"/>
      <c r="F974" s="108"/>
      <c r="G974" s="112"/>
      <c r="I974" s="110"/>
      <c r="K974" s="110"/>
    </row>
    <row r="975" ht="15.75" customHeight="1">
      <c r="B975" s="173"/>
      <c r="F975" s="108"/>
      <c r="G975" s="112"/>
      <c r="I975" s="110"/>
      <c r="K975" s="110"/>
    </row>
    <row r="976" ht="15.75" customHeight="1">
      <c r="B976" s="173"/>
      <c r="F976" s="108"/>
      <c r="G976" s="112"/>
      <c r="I976" s="110"/>
      <c r="K976" s="110"/>
    </row>
    <row r="977" ht="15.75" customHeight="1">
      <c r="B977" s="173"/>
      <c r="F977" s="108"/>
      <c r="G977" s="112"/>
      <c r="I977" s="110"/>
      <c r="K977" s="110"/>
    </row>
    <row r="978" ht="15.75" customHeight="1">
      <c r="B978" s="173"/>
      <c r="F978" s="108"/>
      <c r="G978" s="112"/>
      <c r="I978" s="110"/>
      <c r="K978" s="110"/>
    </row>
    <row r="979" ht="15.75" customHeight="1">
      <c r="B979" s="173"/>
      <c r="F979" s="108"/>
      <c r="G979" s="112"/>
      <c r="I979" s="110"/>
      <c r="K979" s="110"/>
    </row>
    <row r="980" ht="15.75" customHeight="1">
      <c r="B980" s="173"/>
      <c r="F980" s="108"/>
      <c r="G980" s="112"/>
      <c r="I980" s="110"/>
      <c r="K980" s="110"/>
    </row>
    <row r="981" ht="15.75" customHeight="1">
      <c r="B981" s="173"/>
      <c r="F981" s="108"/>
      <c r="G981" s="112"/>
      <c r="I981" s="110"/>
      <c r="K981" s="110"/>
    </row>
    <row r="982" ht="15.75" customHeight="1">
      <c r="B982" s="173"/>
      <c r="F982" s="108"/>
      <c r="G982" s="112"/>
      <c r="I982" s="110"/>
      <c r="K982" s="110"/>
    </row>
    <row r="983" ht="15.75" customHeight="1">
      <c r="B983" s="173"/>
      <c r="F983" s="108"/>
      <c r="G983" s="112"/>
      <c r="I983" s="110"/>
      <c r="K983" s="110"/>
    </row>
    <row r="984" ht="15.75" customHeight="1">
      <c r="B984" s="173"/>
      <c r="F984" s="108"/>
      <c r="G984" s="112"/>
      <c r="I984" s="110"/>
      <c r="K984" s="110"/>
    </row>
    <row r="985" ht="15.75" customHeight="1">
      <c r="B985" s="173"/>
      <c r="F985" s="108"/>
      <c r="G985" s="112"/>
      <c r="I985" s="110"/>
      <c r="K985" s="110"/>
    </row>
    <row r="986" ht="15.75" customHeight="1">
      <c r="B986" s="173"/>
      <c r="F986" s="108"/>
      <c r="G986" s="112"/>
      <c r="I986" s="110"/>
      <c r="K986" s="110"/>
    </row>
    <row r="987" ht="15.75" customHeight="1">
      <c r="B987" s="173"/>
      <c r="F987" s="108"/>
      <c r="G987" s="112"/>
      <c r="I987" s="110"/>
      <c r="K987" s="110"/>
    </row>
    <row r="988" ht="15.75" customHeight="1">
      <c r="B988" s="173"/>
      <c r="F988" s="108"/>
      <c r="G988" s="112"/>
      <c r="I988" s="110"/>
      <c r="K988" s="110"/>
    </row>
    <row r="989" ht="15.75" customHeight="1">
      <c r="B989" s="173"/>
      <c r="F989" s="108"/>
      <c r="G989" s="112"/>
      <c r="I989" s="110"/>
      <c r="K989" s="110"/>
    </row>
    <row r="990" ht="15.75" customHeight="1">
      <c r="B990" s="173"/>
      <c r="F990" s="108"/>
      <c r="G990" s="112"/>
      <c r="I990" s="110"/>
      <c r="K990" s="110"/>
    </row>
    <row r="991" ht="15.75" customHeight="1">
      <c r="B991" s="173"/>
      <c r="F991" s="108"/>
      <c r="G991" s="112"/>
      <c r="I991" s="110"/>
      <c r="K991" s="110"/>
    </row>
    <row r="992" ht="15.75" customHeight="1">
      <c r="B992" s="173"/>
      <c r="F992" s="108"/>
      <c r="G992" s="112"/>
      <c r="I992" s="110"/>
      <c r="K992" s="110"/>
    </row>
    <row r="993" ht="15.75" customHeight="1">
      <c r="B993" s="173"/>
      <c r="F993" s="108"/>
      <c r="G993" s="112"/>
      <c r="I993" s="110"/>
      <c r="K993" s="110"/>
    </row>
    <row r="994" ht="15.75" customHeight="1">
      <c r="B994" s="173"/>
      <c r="F994" s="108"/>
      <c r="G994" s="112"/>
      <c r="I994" s="110"/>
      <c r="K994" s="110"/>
    </row>
    <row r="995" ht="15.75" customHeight="1">
      <c r="B995" s="173"/>
      <c r="F995" s="108"/>
      <c r="G995" s="112"/>
      <c r="I995" s="110"/>
      <c r="K995" s="110"/>
    </row>
    <row r="996" ht="15.75" customHeight="1">
      <c r="B996" s="173"/>
      <c r="F996" s="108"/>
      <c r="G996" s="112"/>
      <c r="I996" s="110"/>
      <c r="K996" s="110"/>
    </row>
    <row r="997" ht="15.75" customHeight="1">
      <c r="B997" s="173"/>
      <c r="F997" s="108"/>
      <c r="G997" s="112"/>
      <c r="I997" s="110"/>
      <c r="K997" s="110"/>
    </row>
    <row r="998" ht="15.75" customHeight="1">
      <c r="B998" s="173"/>
      <c r="F998" s="108"/>
      <c r="G998" s="112"/>
      <c r="I998" s="110"/>
      <c r="K998" s="110"/>
    </row>
    <row r="999" ht="15.75" customHeight="1">
      <c r="B999" s="173"/>
      <c r="F999" s="108"/>
      <c r="G999" s="112"/>
      <c r="I999" s="110"/>
      <c r="K999" s="110"/>
    </row>
    <row r="1000" ht="15.75" customHeight="1">
      <c r="B1000" s="173"/>
      <c r="F1000" s="108"/>
      <c r="G1000" s="112"/>
      <c r="I1000" s="110"/>
      <c r="K1000" s="110"/>
    </row>
  </sheetData>
  <conditionalFormatting sqref="B2:B1000">
    <cfRule type="expression" dxfId="4" priority="1">
      <formula>AND(B2 &lt; EDATE(TODAY(), -18), B2 &gt; EDATE(TODAY(), -24))</formula>
    </cfRule>
  </conditionalFormatting>
  <conditionalFormatting sqref="B2:B1000">
    <cfRule type="expression" dxfId="5" priority="2" stopIfTrue="1">
      <formula>B2&lt; EDATE(TODAY(), -24)</formula>
    </cfRule>
  </conditionalFormatting>
  <conditionalFormatting sqref="G2:G1000">
    <cfRule type="cellIs" dxfId="6" priority="3" stopIfTrue="1" operator="lessThan">
      <formula>0.5</formula>
    </cfRule>
  </conditionalFormatting>
  <conditionalFormatting sqref="G2:G1000">
    <cfRule type="cellIs" dxfId="5" priority="4" stopIfTrue="1" operator="greaterThan">
      <formula>0.75</formula>
    </cfRule>
  </conditionalFormatting>
  <conditionalFormatting sqref="G2:G1000">
    <cfRule type="cellIs" dxfId="4" priority="5" operator="greaterThan">
      <formula>0.5</formula>
    </cfRule>
  </conditionalFormatting>
  <conditionalFormatting sqref="I2:I42">
    <cfRule type="cellIs" dxfId="6" priority="6" stopIfTrue="1" operator="lessThan">
      <formula>0.5</formula>
    </cfRule>
  </conditionalFormatting>
  <conditionalFormatting sqref="I2:I42">
    <cfRule type="cellIs" dxfId="4" priority="7" operator="greaterThan">
      <formula>0.5</formula>
    </cfRule>
  </conditionalFormatting>
  <conditionalFormatting sqref="K1:K1000">
    <cfRule type="cellIs" dxfId="6" priority="8" stopIfTrue="1" operator="greaterThan">
      <formula>15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67"/>
    <col customWidth="1" min="2" max="2" width="12.33"/>
    <col customWidth="1" min="3" max="3" width="13.67"/>
    <col customWidth="1" min="4" max="4" width="10.78"/>
    <col customWidth="1" min="5" max="5" width="20.0"/>
    <col customWidth="1" min="6" max="6" width="16.0"/>
    <col customWidth="1" min="7" max="7" width="17.0"/>
    <col customWidth="1" min="8" max="8" width="85.67"/>
    <col customWidth="1" min="9" max="26" width="10.56"/>
  </cols>
  <sheetData>
    <row r="1" ht="15.75" customHeight="1">
      <c r="A1" s="184" t="s">
        <v>146</v>
      </c>
      <c r="B1" s="184" t="s">
        <v>147</v>
      </c>
      <c r="C1" s="184" t="s">
        <v>148</v>
      </c>
      <c r="D1" s="185" t="s">
        <v>149</v>
      </c>
      <c r="E1" s="186" t="s">
        <v>150</v>
      </c>
      <c r="F1" s="186" t="s">
        <v>151</v>
      </c>
      <c r="G1" s="187" t="s">
        <v>152</v>
      </c>
      <c r="H1" s="184" t="s">
        <v>153</v>
      </c>
    </row>
    <row r="2" ht="15.75" customHeight="1">
      <c r="A2" s="188" t="s">
        <v>154</v>
      </c>
      <c r="B2" s="188">
        <v>108.0</v>
      </c>
      <c r="C2" s="188">
        <v>162.0</v>
      </c>
      <c r="D2" s="189">
        <f t="shared" ref="D2:D16" si="1">C2/B2</f>
        <v>1.5</v>
      </c>
      <c r="E2" s="190">
        <v>28798.0</v>
      </c>
      <c r="F2" s="190">
        <v>27000.0</v>
      </c>
      <c r="G2" s="191">
        <f t="shared" ref="G2:G16" si="2">F2/E2</f>
        <v>0.9375651087</v>
      </c>
      <c r="H2" s="188"/>
    </row>
    <row r="3" ht="15.75" customHeight="1">
      <c r="A3" s="188" t="s">
        <v>155</v>
      </c>
      <c r="B3" s="188">
        <v>47.0</v>
      </c>
      <c r="C3" s="188">
        <v>100.0</v>
      </c>
      <c r="D3" s="189">
        <f t="shared" si="1"/>
        <v>2.127659574</v>
      </c>
      <c r="E3" s="190">
        <v>19397.0</v>
      </c>
      <c r="F3" s="190">
        <v>18000.0</v>
      </c>
      <c r="G3" s="191">
        <f t="shared" si="2"/>
        <v>0.9279785534</v>
      </c>
      <c r="H3" s="188"/>
    </row>
    <row r="4" ht="15.75" customHeight="1">
      <c r="A4" s="188" t="s">
        <v>156</v>
      </c>
      <c r="B4" s="188">
        <v>75.0</v>
      </c>
      <c r="C4" s="188">
        <v>127.0</v>
      </c>
      <c r="D4" s="189">
        <f t="shared" si="1"/>
        <v>1.693333333</v>
      </c>
      <c r="E4" s="190">
        <v>23750.0</v>
      </c>
      <c r="F4" s="190">
        <v>22000.0</v>
      </c>
      <c r="G4" s="191">
        <f t="shared" si="2"/>
        <v>0.9263157895</v>
      </c>
      <c r="H4" s="188"/>
    </row>
    <row r="5" ht="15.75" customHeight="1">
      <c r="A5" s="188" t="s">
        <v>157</v>
      </c>
      <c r="B5" s="188">
        <v>40.0</v>
      </c>
      <c r="C5" s="188">
        <v>95.0</v>
      </c>
      <c r="D5" s="189">
        <f t="shared" si="1"/>
        <v>2.375</v>
      </c>
      <c r="E5" s="190">
        <v>19689.0</v>
      </c>
      <c r="F5" s="190">
        <v>18000.0</v>
      </c>
      <c r="G5" s="191">
        <f t="shared" si="2"/>
        <v>0.9142160597</v>
      </c>
      <c r="H5" s="188"/>
    </row>
    <row r="6" ht="15.75" customHeight="1">
      <c r="A6" s="188" t="s">
        <v>158</v>
      </c>
      <c r="B6" s="188">
        <v>138.0</v>
      </c>
      <c r="C6" s="188">
        <v>250.0</v>
      </c>
      <c r="D6" s="189">
        <f t="shared" si="1"/>
        <v>1.811594203</v>
      </c>
      <c r="E6" s="190">
        <v>23358.0</v>
      </c>
      <c r="F6" s="190">
        <v>21000.0</v>
      </c>
      <c r="G6" s="191">
        <f t="shared" si="2"/>
        <v>0.8990495762</v>
      </c>
      <c r="H6" s="188"/>
    </row>
    <row r="7" ht="15.75" customHeight="1">
      <c r="A7" s="188" t="s">
        <v>158</v>
      </c>
      <c r="B7" s="188">
        <v>93.0</v>
      </c>
      <c r="C7" s="188">
        <v>240.0</v>
      </c>
      <c r="D7" s="189">
        <f t="shared" si="1"/>
        <v>2.580645161</v>
      </c>
      <c r="E7" s="190">
        <v>19368.0</v>
      </c>
      <c r="F7" s="190">
        <v>17000.0</v>
      </c>
      <c r="G7" s="191">
        <f t="shared" si="2"/>
        <v>0.8777364725</v>
      </c>
      <c r="H7" s="188"/>
    </row>
    <row r="8" ht="15.75" customHeight="1">
      <c r="A8" s="188" t="s">
        <v>159</v>
      </c>
      <c r="B8" s="188">
        <v>60.0</v>
      </c>
      <c r="C8" s="188">
        <v>88.0</v>
      </c>
      <c r="D8" s="189">
        <f t="shared" si="1"/>
        <v>1.466666667</v>
      </c>
      <c r="E8" s="190">
        <v>22917.0</v>
      </c>
      <c r="F8" s="190">
        <v>20000.0</v>
      </c>
      <c r="G8" s="191">
        <f t="shared" si="2"/>
        <v>0.8727145787</v>
      </c>
      <c r="H8" s="188"/>
    </row>
    <row r="9" ht="15.75" customHeight="1">
      <c r="A9" s="188" t="s">
        <v>160</v>
      </c>
      <c r="B9" s="188">
        <v>72.0</v>
      </c>
      <c r="C9" s="188">
        <v>132.0</v>
      </c>
      <c r="D9" s="189">
        <f t="shared" si="1"/>
        <v>1.833333333</v>
      </c>
      <c r="E9" s="190">
        <v>10661.0</v>
      </c>
      <c r="F9" s="190">
        <v>9263.0</v>
      </c>
      <c r="G9" s="191">
        <f t="shared" si="2"/>
        <v>0.868867836</v>
      </c>
      <c r="H9" s="188"/>
    </row>
    <row r="10" ht="15.75" customHeight="1">
      <c r="A10" s="188" t="s">
        <v>161</v>
      </c>
      <c r="B10" s="188">
        <v>22.0</v>
      </c>
      <c r="C10" s="188">
        <v>66.25</v>
      </c>
      <c r="D10" s="189">
        <f t="shared" si="1"/>
        <v>3.011363636</v>
      </c>
      <c r="E10" s="190">
        <v>21327.0</v>
      </c>
      <c r="F10" s="190">
        <v>18000.0</v>
      </c>
      <c r="G10" s="191">
        <f t="shared" si="2"/>
        <v>0.8440005627</v>
      </c>
      <c r="H10" s="188"/>
    </row>
    <row r="11" ht="15.75" customHeight="1">
      <c r="A11" s="188" t="s">
        <v>162</v>
      </c>
      <c r="B11" s="188">
        <v>21.0</v>
      </c>
      <c r="C11" s="188">
        <v>60.0</v>
      </c>
      <c r="D11" s="189">
        <f t="shared" si="1"/>
        <v>2.857142857</v>
      </c>
      <c r="E11" s="190">
        <v>7096.0</v>
      </c>
      <c r="F11" s="190">
        <v>5657.0</v>
      </c>
      <c r="G11" s="191">
        <f t="shared" si="2"/>
        <v>0.7972096956</v>
      </c>
      <c r="H11" s="188"/>
    </row>
    <row r="12" ht="15.75" customHeight="1">
      <c r="A12" s="188" t="s">
        <v>163</v>
      </c>
      <c r="B12" s="188">
        <v>108.0</v>
      </c>
      <c r="C12" s="188">
        <v>260.0</v>
      </c>
      <c r="D12" s="189">
        <f t="shared" si="1"/>
        <v>2.407407407</v>
      </c>
      <c r="E12" s="190">
        <v>11361.0</v>
      </c>
      <c r="F12" s="190">
        <v>9000.0</v>
      </c>
      <c r="G12" s="191">
        <f t="shared" si="2"/>
        <v>0.7921837866</v>
      </c>
      <c r="H12" s="188"/>
    </row>
    <row r="13" ht="15.75" hidden="1" customHeight="1">
      <c r="A13" s="192" t="s">
        <v>164</v>
      </c>
      <c r="B13" s="192">
        <v>17.0</v>
      </c>
      <c r="C13" s="192">
        <v>55.0</v>
      </c>
      <c r="D13" s="193">
        <f t="shared" si="1"/>
        <v>3.235294118</v>
      </c>
      <c r="E13" s="194">
        <v>28325.0</v>
      </c>
      <c r="F13" s="194">
        <v>25000.0</v>
      </c>
      <c r="G13" s="195">
        <f t="shared" si="2"/>
        <v>0.8826125331</v>
      </c>
      <c r="H13" s="192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5.75" customHeight="1">
      <c r="A14" s="188" t="s">
        <v>165</v>
      </c>
      <c r="B14" s="188">
        <v>58.0</v>
      </c>
      <c r="C14" s="188">
        <v>332.0</v>
      </c>
      <c r="D14" s="189">
        <f t="shared" si="1"/>
        <v>5.724137931</v>
      </c>
      <c r="E14" s="190">
        <v>2474.0</v>
      </c>
      <c r="F14" s="190">
        <v>1631.0</v>
      </c>
      <c r="G14" s="191">
        <f t="shared" si="2"/>
        <v>0.6592562652</v>
      </c>
      <c r="H14" s="188"/>
    </row>
    <row r="15" ht="15.75" hidden="1" customHeight="1">
      <c r="A15" s="192" t="s">
        <v>166</v>
      </c>
      <c r="B15" s="192">
        <v>55.0</v>
      </c>
      <c r="C15" s="192">
        <v>120.0</v>
      </c>
      <c r="D15" s="193">
        <f t="shared" si="1"/>
        <v>2.181818182</v>
      </c>
      <c r="E15" s="194">
        <v>32367.0</v>
      </c>
      <c r="F15" s="194">
        <v>29000.0</v>
      </c>
      <c r="G15" s="195">
        <f t="shared" si="2"/>
        <v>0.8959742948</v>
      </c>
      <c r="H15" s="192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5.75" hidden="1" customHeight="1">
      <c r="A16" s="192" t="s">
        <v>167</v>
      </c>
      <c r="B16" s="192">
        <v>47.0</v>
      </c>
      <c r="C16" s="192">
        <v>120.0</v>
      </c>
      <c r="D16" s="193">
        <f t="shared" si="1"/>
        <v>2.553191489</v>
      </c>
      <c r="E16" s="194">
        <v>8926.0</v>
      </c>
      <c r="F16" s="194">
        <v>7777.0</v>
      </c>
      <c r="G16" s="195">
        <f t="shared" si="2"/>
        <v>0.8712749272</v>
      </c>
      <c r="H16" s="192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5.75" customHeight="1">
      <c r="D17" s="108"/>
      <c r="E17" s="197"/>
      <c r="F17" s="197"/>
      <c r="G17" s="198"/>
    </row>
    <row r="18" ht="15.75" customHeight="1">
      <c r="D18" s="108"/>
      <c r="E18" s="197"/>
      <c r="F18" s="197"/>
      <c r="G18" s="198"/>
    </row>
    <row r="19" ht="15.75" customHeight="1">
      <c r="D19" s="108"/>
      <c r="E19" s="197"/>
      <c r="F19" s="197"/>
      <c r="G19" s="198"/>
    </row>
    <row r="20" ht="15.75" customHeight="1">
      <c r="D20" s="108"/>
      <c r="E20" s="197"/>
      <c r="F20" s="197"/>
      <c r="G20" s="198"/>
    </row>
    <row r="21" ht="15.75" customHeight="1">
      <c r="D21" s="108"/>
      <c r="E21" s="197"/>
      <c r="F21" s="197"/>
      <c r="G21" s="198"/>
    </row>
    <row r="22" ht="15.75" customHeight="1">
      <c r="D22" s="108"/>
      <c r="E22" s="197"/>
      <c r="F22" s="197"/>
      <c r="G22" s="198"/>
    </row>
    <row r="23" ht="15.75" customHeight="1">
      <c r="D23" s="108"/>
      <c r="E23" s="197"/>
      <c r="F23" s="197"/>
      <c r="G23" s="198"/>
    </row>
    <row r="24" ht="15.75" customHeight="1">
      <c r="D24" s="108"/>
      <c r="E24" s="197"/>
      <c r="F24" s="197"/>
      <c r="G24" s="198"/>
    </row>
    <row r="25" ht="15.75" customHeight="1">
      <c r="D25" s="108"/>
      <c r="E25" s="197"/>
      <c r="F25" s="197"/>
      <c r="G25" s="198"/>
    </row>
    <row r="26" ht="15.75" customHeight="1">
      <c r="D26" s="108"/>
      <c r="E26" s="197"/>
      <c r="F26" s="197"/>
      <c r="G26" s="198"/>
    </row>
    <row r="27" ht="15.75" customHeight="1">
      <c r="D27" s="108"/>
      <c r="E27" s="197"/>
      <c r="F27" s="197"/>
      <c r="G27" s="198"/>
    </row>
    <row r="28" ht="15.75" customHeight="1">
      <c r="D28" s="108"/>
      <c r="E28" s="197"/>
      <c r="F28" s="197"/>
      <c r="G28" s="198"/>
    </row>
    <row r="29" ht="15.75" customHeight="1">
      <c r="D29" s="108"/>
      <c r="E29" s="197"/>
      <c r="F29" s="197"/>
      <c r="G29" s="198"/>
    </row>
    <row r="30" ht="15.75" customHeight="1">
      <c r="D30" s="108"/>
      <c r="E30" s="197"/>
      <c r="F30" s="197"/>
      <c r="G30" s="198"/>
    </row>
    <row r="31" ht="15.75" customHeight="1">
      <c r="D31" s="108"/>
      <c r="E31" s="197"/>
      <c r="F31" s="197"/>
      <c r="G31" s="198"/>
    </row>
    <row r="32" ht="15.75" customHeight="1">
      <c r="D32" s="108"/>
      <c r="E32" s="197"/>
      <c r="F32" s="197"/>
      <c r="G32" s="198"/>
    </row>
    <row r="33" ht="15.75" customHeight="1">
      <c r="D33" s="108"/>
      <c r="E33" s="197"/>
      <c r="F33" s="197"/>
      <c r="G33" s="198"/>
    </row>
    <row r="34" ht="15.75" customHeight="1">
      <c r="D34" s="108"/>
      <c r="E34" s="197"/>
      <c r="F34" s="197"/>
      <c r="G34" s="198"/>
    </row>
    <row r="35" ht="15.75" customHeight="1">
      <c r="D35" s="108"/>
      <c r="E35" s="197"/>
      <c r="F35" s="197"/>
      <c r="G35" s="198"/>
    </row>
    <row r="36" ht="15.75" customHeight="1">
      <c r="D36" s="108"/>
      <c r="E36" s="197"/>
      <c r="F36" s="197"/>
      <c r="G36" s="198"/>
    </row>
    <row r="37" ht="15.75" customHeight="1">
      <c r="D37" s="108"/>
      <c r="E37" s="197"/>
      <c r="F37" s="197"/>
      <c r="G37" s="198"/>
    </row>
    <row r="38" ht="15.75" customHeight="1">
      <c r="D38" s="108"/>
      <c r="E38" s="197"/>
      <c r="F38" s="197"/>
      <c r="G38" s="198"/>
    </row>
    <row r="39" ht="15.75" customHeight="1">
      <c r="D39" s="108"/>
      <c r="E39" s="197"/>
      <c r="F39" s="197"/>
      <c r="G39" s="198"/>
    </row>
    <row r="40" ht="15.75" customHeight="1">
      <c r="D40" s="108"/>
      <c r="E40" s="197"/>
      <c r="F40" s="197"/>
      <c r="G40" s="198"/>
    </row>
    <row r="41" ht="15.75" customHeight="1">
      <c r="D41" s="108"/>
      <c r="E41" s="197"/>
      <c r="F41" s="197"/>
      <c r="G41" s="198"/>
    </row>
    <row r="42" ht="15.75" customHeight="1">
      <c r="D42" s="108"/>
      <c r="E42" s="197"/>
      <c r="F42" s="197"/>
      <c r="G42" s="198"/>
    </row>
    <row r="43" ht="15.75" customHeight="1">
      <c r="D43" s="108"/>
      <c r="E43" s="197"/>
      <c r="F43" s="197"/>
      <c r="G43" s="198"/>
    </row>
    <row r="44" ht="15.75" customHeight="1">
      <c r="D44" s="108"/>
      <c r="E44" s="197"/>
      <c r="F44" s="197"/>
      <c r="G44" s="198"/>
    </row>
    <row r="45" ht="15.75" customHeight="1">
      <c r="D45" s="108"/>
      <c r="E45" s="197"/>
      <c r="F45" s="197"/>
      <c r="G45" s="198"/>
    </row>
    <row r="46" ht="15.75" customHeight="1">
      <c r="D46" s="108"/>
      <c r="E46" s="197"/>
      <c r="F46" s="197"/>
      <c r="G46" s="198"/>
    </row>
    <row r="47" ht="15.75" customHeight="1">
      <c r="D47" s="108"/>
      <c r="E47" s="197"/>
      <c r="F47" s="197"/>
      <c r="G47" s="198"/>
    </row>
    <row r="48" ht="15.75" customHeight="1">
      <c r="D48" s="108"/>
      <c r="E48" s="197"/>
      <c r="F48" s="197"/>
      <c r="G48" s="198"/>
    </row>
    <row r="49" ht="15.75" customHeight="1">
      <c r="D49" s="108"/>
      <c r="E49" s="197"/>
      <c r="F49" s="197"/>
      <c r="G49" s="198"/>
    </row>
    <row r="50" ht="15.75" customHeight="1">
      <c r="D50" s="108"/>
      <c r="E50" s="197"/>
      <c r="F50" s="197"/>
      <c r="G50" s="198"/>
    </row>
    <row r="51" ht="15.75" customHeight="1">
      <c r="D51" s="108"/>
      <c r="E51" s="197"/>
      <c r="F51" s="197"/>
      <c r="G51" s="198"/>
    </row>
    <row r="52" ht="15.75" customHeight="1">
      <c r="D52" s="108"/>
      <c r="E52" s="197"/>
      <c r="F52" s="197"/>
      <c r="G52" s="198"/>
    </row>
    <row r="53" ht="15.75" customHeight="1">
      <c r="D53" s="108"/>
      <c r="E53" s="197"/>
      <c r="F53" s="197"/>
      <c r="G53" s="198"/>
    </row>
    <row r="54" ht="15.75" customHeight="1">
      <c r="D54" s="108"/>
      <c r="E54" s="197"/>
      <c r="F54" s="197"/>
      <c r="G54" s="198"/>
    </row>
    <row r="55" ht="15.75" customHeight="1">
      <c r="D55" s="108"/>
      <c r="E55" s="197"/>
      <c r="F55" s="197"/>
      <c r="G55" s="198"/>
    </row>
    <row r="56" ht="15.75" customHeight="1">
      <c r="D56" s="108"/>
      <c r="E56" s="197"/>
      <c r="F56" s="197"/>
      <c r="G56" s="198"/>
    </row>
    <row r="57" ht="15.75" customHeight="1">
      <c r="D57" s="108"/>
      <c r="E57" s="197"/>
      <c r="F57" s="197"/>
      <c r="G57" s="198"/>
    </row>
    <row r="58" ht="15.75" customHeight="1">
      <c r="D58" s="108"/>
      <c r="E58" s="197"/>
      <c r="F58" s="197"/>
      <c r="G58" s="198"/>
    </row>
    <row r="59" ht="15.75" customHeight="1">
      <c r="D59" s="108"/>
      <c r="E59" s="197"/>
      <c r="F59" s="197"/>
      <c r="G59" s="198"/>
    </row>
    <row r="60" ht="15.75" customHeight="1">
      <c r="D60" s="108"/>
      <c r="E60" s="197"/>
      <c r="F60" s="197"/>
      <c r="G60" s="198"/>
    </row>
    <row r="61" ht="15.75" customHeight="1">
      <c r="D61" s="108"/>
      <c r="E61" s="197"/>
      <c r="F61" s="197"/>
      <c r="G61" s="198"/>
    </row>
    <row r="62" ht="15.75" customHeight="1">
      <c r="D62" s="108"/>
      <c r="E62" s="197"/>
      <c r="F62" s="197"/>
      <c r="G62" s="198"/>
    </row>
    <row r="63" ht="15.75" customHeight="1">
      <c r="D63" s="108"/>
      <c r="E63" s="197"/>
      <c r="F63" s="197"/>
      <c r="G63" s="198"/>
    </row>
    <row r="64" ht="15.75" customHeight="1">
      <c r="D64" s="108"/>
      <c r="E64" s="197"/>
      <c r="F64" s="197"/>
      <c r="G64" s="198"/>
    </row>
    <row r="65" ht="15.75" customHeight="1">
      <c r="D65" s="108"/>
      <c r="E65" s="197"/>
      <c r="F65" s="197"/>
      <c r="G65" s="198"/>
    </row>
    <row r="66" ht="15.75" customHeight="1">
      <c r="D66" s="108"/>
      <c r="E66" s="197"/>
      <c r="F66" s="197"/>
      <c r="G66" s="198"/>
    </row>
    <row r="67" ht="15.75" customHeight="1">
      <c r="D67" s="108"/>
      <c r="E67" s="197"/>
      <c r="F67" s="197"/>
      <c r="G67" s="198"/>
    </row>
    <row r="68" ht="15.75" customHeight="1">
      <c r="D68" s="108"/>
      <c r="E68" s="197"/>
      <c r="F68" s="197"/>
      <c r="G68" s="198"/>
    </row>
    <row r="69" ht="15.75" customHeight="1">
      <c r="D69" s="108"/>
      <c r="E69" s="197"/>
      <c r="F69" s="197"/>
      <c r="G69" s="198"/>
    </row>
    <row r="70" ht="15.75" customHeight="1">
      <c r="D70" s="108"/>
      <c r="E70" s="197"/>
      <c r="F70" s="197"/>
      <c r="G70" s="198"/>
    </row>
    <row r="71" ht="15.75" customHeight="1">
      <c r="D71" s="108"/>
      <c r="E71" s="197"/>
      <c r="F71" s="197"/>
      <c r="G71" s="198"/>
    </row>
    <row r="72" ht="15.75" customHeight="1">
      <c r="D72" s="108"/>
      <c r="E72" s="197"/>
      <c r="F72" s="197"/>
      <c r="G72" s="198"/>
    </row>
    <row r="73" ht="15.75" customHeight="1">
      <c r="D73" s="108"/>
      <c r="E73" s="197"/>
      <c r="F73" s="197"/>
      <c r="G73" s="198"/>
    </row>
    <row r="74" ht="15.75" customHeight="1">
      <c r="D74" s="108"/>
      <c r="E74" s="197"/>
      <c r="F74" s="197"/>
      <c r="G74" s="198"/>
    </row>
    <row r="75" ht="15.75" customHeight="1">
      <c r="D75" s="108"/>
      <c r="E75" s="197"/>
      <c r="F75" s="197"/>
      <c r="G75" s="198"/>
    </row>
    <row r="76" ht="15.75" customHeight="1">
      <c r="D76" s="108"/>
      <c r="E76" s="197"/>
      <c r="F76" s="197"/>
      <c r="G76" s="198"/>
    </row>
    <row r="77" ht="15.75" customHeight="1">
      <c r="D77" s="108"/>
      <c r="E77" s="197"/>
      <c r="F77" s="197"/>
      <c r="G77" s="198"/>
    </row>
    <row r="78" ht="15.75" customHeight="1">
      <c r="D78" s="108"/>
      <c r="E78" s="197"/>
      <c r="F78" s="197"/>
      <c r="G78" s="198"/>
    </row>
    <row r="79" ht="15.75" customHeight="1">
      <c r="D79" s="108"/>
      <c r="E79" s="197"/>
      <c r="F79" s="197"/>
      <c r="G79" s="198"/>
    </row>
    <row r="80" ht="15.75" customHeight="1">
      <c r="D80" s="108"/>
      <c r="E80" s="197"/>
      <c r="F80" s="197"/>
      <c r="G80" s="198"/>
    </row>
    <row r="81" ht="15.75" customHeight="1">
      <c r="D81" s="108"/>
      <c r="E81" s="197"/>
      <c r="F81" s="197"/>
      <c r="G81" s="198"/>
    </row>
    <row r="82" ht="15.75" customHeight="1">
      <c r="D82" s="108"/>
      <c r="E82" s="197"/>
      <c r="F82" s="197"/>
      <c r="G82" s="198"/>
    </row>
    <row r="83" ht="15.75" customHeight="1">
      <c r="D83" s="108"/>
      <c r="E83" s="197"/>
      <c r="F83" s="197"/>
      <c r="G83" s="198"/>
    </row>
    <row r="84" ht="15.75" customHeight="1">
      <c r="D84" s="108"/>
      <c r="E84" s="197"/>
      <c r="F84" s="197"/>
      <c r="G84" s="198"/>
    </row>
    <row r="85" ht="15.75" customHeight="1">
      <c r="D85" s="108"/>
      <c r="E85" s="197"/>
      <c r="F85" s="197"/>
      <c r="G85" s="198"/>
    </row>
    <row r="86" ht="15.75" customHeight="1">
      <c r="D86" s="108"/>
      <c r="E86" s="197"/>
      <c r="F86" s="197"/>
      <c r="G86" s="198"/>
    </row>
    <row r="87" ht="15.75" customHeight="1">
      <c r="D87" s="108"/>
      <c r="E87" s="197"/>
      <c r="F87" s="197"/>
      <c r="G87" s="198"/>
    </row>
    <row r="88" ht="15.75" customHeight="1">
      <c r="D88" s="108"/>
      <c r="E88" s="197"/>
      <c r="F88" s="197"/>
      <c r="G88" s="198"/>
    </row>
    <row r="89" ht="15.75" customHeight="1">
      <c r="D89" s="108"/>
      <c r="E89" s="197"/>
      <c r="F89" s="197"/>
      <c r="G89" s="198"/>
    </row>
    <row r="90" ht="15.75" customHeight="1">
      <c r="D90" s="108"/>
      <c r="E90" s="197"/>
      <c r="F90" s="197"/>
      <c r="G90" s="198"/>
    </row>
    <row r="91" ht="15.75" customHeight="1">
      <c r="D91" s="108"/>
      <c r="E91" s="197"/>
      <c r="F91" s="197"/>
      <c r="G91" s="198"/>
    </row>
    <row r="92" ht="15.75" customHeight="1">
      <c r="D92" s="108"/>
      <c r="E92" s="197"/>
      <c r="F92" s="197"/>
      <c r="G92" s="198"/>
    </row>
    <row r="93" ht="15.75" customHeight="1">
      <c r="D93" s="108"/>
      <c r="E93" s="197"/>
      <c r="F93" s="197"/>
      <c r="G93" s="198"/>
    </row>
    <row r="94" ht="15.75" customHeight="1">
      <c r="D94" s="108"/>
      <c r="E94" s="197"/>
      <c r="F94" s="197"/>
      <c r="G94" s="198"/>
    </row>
    <row r="95" ht="15.75" customHeight="1">
      <c r="D95" s="108"/>
      <c r="E95" s="197"/>
      <c r="F95" s="197"/>
      <c r="G95" s="198"/>
    </row>
    <row r="96" ht="15.75" customHeight="1">
      <c r="D96" s="108"/>
      <c r="E96" s="197"/>
      <c r="F96" s="197"/>
      <c r="G96" s="198"/>
    </row>
    <row r="97" ht="15.75" customHeight="1">
      <c r="D97" s="108"/>
      <c r="E97" s="197"/>
      <c r="F97" s="197"/>
      <c r="G97" s="198"/>
    </row>
    <row r="98" ht="15.75" customHeight="1">
      <c r="D98" s="108"/>
      <c r="E98" s="197"/>
      <c r="F98" s="197"/>
      <c r="G98" s="198"/>
    </row>
    <row r="99" ht="15.75" customHeight="1">
      <c r="D99" s="108"/>
      <c r="E99" s="197"/>
      <c r="F99" s="197"/>
      <c r="G99" s="198"/>
    </row>
    <row r="100" ht="15.75" customHeight="1">
      <c r="D100" s="108"/>
      <c r="E100" s="197"/>
      <c r="F100" s="197"/>
      <c r="G100" s="198"/>
    </row>
    <row r="101" ht="15.75" customHeight="1">
      <c r="D101" s="108"/>
      <c r="E101" s="197"/>
      <c r="F101" s="197"/>
      <c r="G101" s="198"/>
    </row>
    <row r="102" ht="15.75" customHeight="1">
      <c r="D102" s="108"/>
      <c r="E102" s="197"/>
      <c r="F102" s="197"/>
      <c r="G102" s="198"/>
    </row>
    <row r="103" ht="15.75" customHeight="1">
      <c r="D103" s="108"/>
      <c r="E103" s="197"/>
      <c r="F103" s="197"/>
      <c r="G103" s="198"/>
    </row>
    <row r="104" ht="15.75" customHeight="1">
      <c r="D104" s="108"/>
      <c r="E104" s="197"/>
      <c r="F104" s="197"/>
      <c r="G104" s="198"/>
    </row>
    <row r="105" ht="15.75" customHeight="1">
      <c r="D105" s="108"/>
      <c r="E105" s="197"/>
      <c r="F105" s="197"/>
      <c r="G105" s="198"/>
    </row>
    <row r="106" ht="15.75" customHeight="1">
      <c r="D106" s="108"/>
      <c r="E106" s="197"/>
      <c r="F106" s="197"/>
      <c r="G106" s="198"/>
    </row>
    <row r="107" ht="15.75" customHeight="1">
      <c r="D107" s="108"/>
      <c r="E107" s="197"/>
      <c r="F107" s="197"/>
      <c r="G107" s="198"/>
    </row>
    <row r="108" ht="15.75" customHeight="1">
      <c r="D108" s="108"/>
      <c r="E108" s="197"/>
      <c r="F108" s="197"/>
      <c r="G108" s="198"/>
    </row>
    <row r="109" ht="15.75" customHeight="1">
      <c r="D109" s="108"/>
      <c r="E109" s="197"/>
      <c r="F109" s="197"/>
      <c r="G109" s="198"/>
    </row>
    <row r="110" ht="15.75" customHeight="1">
      <c r="D110" s="108"/>
      <c r="E110" s="197"/>
      <c r="F110" s="197"/>
      <c r="G110" s="198"/>
    </row>
    <row r="111" ht="15.75" customHeight="1">
      <c r="D111" s="108"/>
      <c r="E111" s="197"/>
      <c r="F111" s="197"/>
      <c r="G111" s="198"/>
    </row>
    <row r="112" ht="15.75" customHeight="1">
      <c r="D112" s="108"/>
      <c r="E112" s="197"/>
      <c r="F112" s="197"/>
      <c r="G112" s="198"/>
    </row>
    <row r="113" ht="15.75" customHeight="1">
      <c r="D113" s="108"/>
      <c r="E113" s="197"/>
      <c r="F113" s="197"/>
      <c r="G113" s="198"/>
    </row>
    <row r="114" ht="15.75" customHeight="1">
      <c r="D114" s="108"/>
      <c r="E114" s="197"/>
      <c r="F114" s="197"/>
      <c r="G114" s="198"/>
    </row>
    <row r="115" ht="15.75" customHeight="1">
      <c r="D115" s="108"/>
      <c r="E115" s="197"/>
      <c r="F115" s="197"/>
      <c r="G115" s="198"/>
    </row>
    <row r="116" ht="15.75" customHeight="1">
      <c r="D116" s="108"/>
      <c r="E116" s="197"/>
      <c r="F116" s="197"/>
      <c r="G116" s="198"/>
    </row>
    <row r="117" ht="15.75" customHeight="1">
      <c r="D117" s="108"/>
      <c r="E117" s="197"/>
      <c r="F117" s="197"/>
      <c r="G117" s="198"/>
    </row>
    <row r="118" ht="15.75" customHeight="1">
      <c r="D118" s="108"/>
      <c r="E118" s="197"/>
      <c r="F118" s="197"/>
      <c r="G118" s="198"/>
    </row>
    <row r="119" ht="15.75" customHeight="1">
      <c r="D119" s="108"/>
      <c r="E119" s="197"/>
      <c r="F119" s="197"/>
      <c r="G119" s="198"/>
    </row>
    <row r="120" ht="15.75" customHeight="1">
      <c r="D120" s="108"/>
      <c r="E120" s="197"/>
      <c r="F120" s="197"/>
      <c r="G120" s="198"/>
    </row>
    <row r="121" ht="15.75" customHeight="1">
      <c r="D121" s="108"/>
      <c r="E121" s="197"/>
      <c r="F121" s="197"/>
      <c r="G121" s="198"/>
    </row>
    <row r="122" ht="15.75" customHeight="1">
      <c r="D122" s="108"/>
      <c r="E122" s="197"/>
      <c r="F122" s="197"/>
      <c r="G122" s="198"/>
    </row>
    <row r="123" ht="15.75" customHeight="1">
      <c r="D123" s="108"/>
      <c r="E123" s="197"/>
      <c r="F123" s="197"/>
      <c r="G123" s="198"/>
    </row>
    <row r="124" ht="15.75" customHeight="1">
      <c r="D124" s="108"/>
      <c r="E124" s="197"/>
      <c r="F124" s="197"/>
      <c r="G124" s="198"/>
    </row>
    <row r="125" ht="15.75" customHeight="1">
      <c r="D125" s="108"/>
      <c r="E125" s="197"/>
      <c r="F125" s="197"/>
      <c r="G125" s="198"/>
    </row>
    <row r="126" ht="15.75" customHeight="1">
      <c r="D126" s="108"/>
      <c r="E126" s="197"/>
      <c r="F126" s="197"/>
      <c r="G126" s="198"/>
    </row>
    <row r="127" ht="15.75" customHeight="1">
      <c r="D127" s="108"/>
      <c r="E127" s="197"/>
      <c r="F127" s="197"/>
      <c r="G127" s="198"/>
    </row>
    <row r="128" ht="15.75" customHeight="1">
      <c r="D128" s="108"/>
      <c r="E128" s="197"/>
      <c r="F128" s="197"/>
      <c r="G128" s="198"/>
    </row>
    <row r="129" ht="15.75" customHeight="1">
      <c r="D129" s="108"/>
      <c r="E129" s="197"/>
      <c r="F129" s="197"/>
      <c r="G129" s="198"/>
    </row>
    <row r="130" ht="15.75" customHeight="1">
      <c r="D130" s="108"/>
      <c r="E130" s="197"/>
      <c r="F130" s="197"/>
      <c r="G130" s="198"/>
    </row>
    <row r="131" ht="15.75" customHeight="1">
      <c r="D131" s="108"/>
      <c r="E131" s="197"/>
      <c r="F131" s="197"/>
      <c r="G131" s="198"/>
    </row>
    <row r="132" ht="15.75" customHeight="1">
      <c r="D132" s="108"/>
      <c r="E132" s="197"/>
      <c r="F132" s="197"/>
      <c r="G132" s="198"/>
    </row>
    <row r="133" ht="15.75" customHeight="1">
      <c r="D133" s="108"/>
      <c r="E133" s="197"/>
      <c r="F133" s="197"/>
      <c r="G133" s="198"/>
    </row>
    <row r="134" ht="15.75" customHeight="1">
      <c r="D134" s="108"/>
      <c r="E134" s="197"/>
      <c r="F134" s="197"/>
      <c r="G134" s="198"/>
    </row>
    <row r="135" ht="15.75" customHeight="1">
      <c r="D135" s="108"/>
      <c r="E135" s="197"/>
      <c r="F135" s="197"/>
      <c r="G135" s="198"/>
    </row>
    <row r="136" ht="15.75" customHeight="1">
      <c r="D136" s="108"/>
      <c r="E136" s="197"/>
      <c r="F136" s="197"/>
      <c r="G136" s="198"/>
    </row>
    <row r="137" ht="15.75" customHeight="1">
      <c r="D137" s="108"/>
      <c r="E137" s="197"/>
      <c r="F137" s="197"/>
      <c r="G137" s="198"/>
    </row>
    <row r="138" ht="15.75" customHeight="1">
      <c r="D138" s="108"/>
      <c r="E138" s="197"/>
      <c r="F138" s="197"/>
      <c r="G138" s="198"/>
    </row>
    <row r="139" ht="15.75" customHeight="1">
      <c r="D139" s="108"/>
      <c r="E139" s="197"/>
      <c r="F139" s="197"/>
      <c r="G139" s="198"/>
    </row>
    <row r="140" ht="15.75" customHeight="1">
      <c r="D140" s="108"/>
      <c r="E140" s="197"/>
      <c r="F140" s="197"/>
      <c r="G140" s="198"/>
    </row>
    <row r="141" ht="15.75" customHeight="1">
      <c r="D141" s="108"/>
      <c r="E141" s="197"/>
      <c r="F141" s="197"/>
      <c r="G141" s="198"/>
    </row>
    <row r="142" ht="15.75" customHeight="1">
      <c r="D142" s="108"/>
      <c r="E142" s="197"/>
      <c r="F142" s="197"/>
      <c r="G142" s="198"/>
    </row>
    <row r="143" ht="15.75" customHeight="1">
      <c r="D143" s="108"/>
      <c r="E143" s="197"/>
      <c r="F143" s="197"/>
      <c r="G143" s="198"/>
    </row>
    <row r="144" ht="15.75" customHeight="1">
      <c r="D144" s="108"/>
      <c r="E144" s="197"/>
      <c r="F144" s="197"/>
      <c r="G144" s="198"/>
    </row>
    <row r="145" ht="15.75" customHeight="1">
      <c r="D145" s="108"/>
      <c r="E145" s="197"/>
      <c r="F145" s="197"/>
      <c r="G145" s="198"/>
    </row>
    <row r="146" ht="15.75" customHeight="1">
      <c r="D146" s="108"/>
      <c r="E146" s="197"/>
      <c r="F146" s="197"/>
      <c r="G146" s="198"/>
    </row>
    <row r="147" ht="15.75" customHeight="1">
      <c r="D147" s="108"/>
      <c r="E147" s="197"/>
      <c r="F147" s="197"/>
      <c r="G147" s="198"/>
    </row>
    <row r="148" ht="15.75" customHeight="1">
      <c r="D148" s="108"/>
      <c r="E148" s="197"/>
      <c r="F148" s="197"/>
      <c r="G148" s="198"/>
    </row>
    <row r="149" ht="15.75" customHeight="1">
      <c r="D149" s="108"/>
      <c r="E149" s="197"/>
      <c r="F149" s="197"/>
      <c r="G149" s="198"/>
    </row>
    <row r="150" ht="15.75" customHeight="1">
      <c r="D150" s="108"/>
      <c r="E150" s="197"/>
      <c r="F150" s="197"/>
      <c r="G150" s="198"/>
    </row>
    <row r="151" ht="15.75" customHeight="1">
      <c r="D151" s="108"/>
      <c r="E151" s="197"/>
      <c r="F151" s="197"/>
      <c r="G151" s="198"/>
    </row>
    <row r="152" ht="15.75" customHeight="1">
      <c r="D152" s="108"/>
      <c r="E152" s="197"/>
      <c r="F152" s="197"/>
      <c r="G152" s="198"/>
    </row>
    <row r="153" ht="15.75" customHeight="1">
      <c r="D153" s="108"/>
      <c r="E153" s="197"/>
      <c r="F153" s="197"/>
      <c r="G153" s="198"/>
    </row>
    <row r="154" ht="15.75" customHeight="1">
      <c r="D154" s="108"/>
      <c r="E154" s="197"/>
      <c r="F154" s="197"/>
      <c r="G154" s="198"/>
    </row>
    <row r="155" ht="15.75" customHeight="1">
      <c r="D155" s="108"/>
      <c r="E155" s="197"/>
      <c r="F155" s="197"/>
      <c r="G155" s="198"/>
    </row>
    <row r="156" ht="15.75" customHeight="1">
      <c r="D156" s="108"/>
      <c r="E156" s="197"/>
      <c r="F156" s="197"/>
      <c r="G156" s="198"/>
    </row>
    <row r="157" ht="15.75" customHeight="1">
      <c r="D157" s="108"/>
      <c r="E157" s="197"/>
      <c r="F157" s="197"/>
      <c r="G157" s="198"/>
    </row>
    <row r="158" ht="15.75" customHeight="1">
      <c r="D158" s="108"/>
      <c r="E158" s="197"/>
      <c r="F158" s="197"/>
      <c r="G158" s="198"/>
    </row>
    <row r="159" ht="15.75" customHeight="1">
      <c r="D159" s="108"/>
      <c r="E159" s="197"/>
      <c r="F159" s="197"/>
      <c r="G159" s="198"/>
    </row>
    <row r="160" ht="15.75" customHeight="1">
      <c r="D160" s="108"/>
      <c r="E160" s="197"/>
      <c r="F160" s="197"/>
      <c r="G160" s="198"/>
    </row>
    <row r="161" ht="15.75" customHeight="1">
      <c r="D161" s="108"/>
      <c r="E161" s="197"/>
      <c r="F161" s="197"/>
      <c r="G161" s="198"/>
    </row>
    <row r="162" ht="15.75" customHeight="1">
      <c r="D162" s="108"/>
      <c r="E162" s="197"/>
      <c r="F162" s="197"/>
      <c r="G162" s="198"/>
    </row>
    <row r="163" ht="15.75" customHeight="1">
      <c r="D163" s="108"/>
      <c r="E163" s="197"/>
      <c r="F163" s="197"/>
      <c r="G163" s="198"/>
    </row>
    <row r="164" ht="15.75" customHeight="1">
      <c r="D164" s="108"/>
      <c r="E164" s="197"/>
      <c r="F164" s="197"/>
      <c r="G164" s="198"/>
    </row>
    <row r="165" ht="15.75" customHeight="1">
      <c r="D165" s="108"/>
      <c r="E165" s="197"/>
      <c r="F165" s="197"/>
      <c r="G165" s="198"/>
    </row>
    <row r="166" ht="15.75" customHeight="1">
      <c r="D166" s="108"/>
      <c r="E166" s="197"/>
      <c r="F166" s="197"/>
      <c r="G166" s="198"/>
    </row>
    <row r="167" ht="15.75" customHeight="1">
      <c r="D167" s="108"/>
      <c r="E167" s="197"/>
      <c r="F167" s="197"/>
      <c r="G167" s="198"/>
    </row>
    <row r="168" ht="15.75" customHeight="1">
      <c r="D168" s="108"/>
      <c r="E168" s="197"/>
      <c r="F168" s="197"/>
      <c r="G168" s="198"/>
    </row>
    <row r="169" ht="15.75" customHeight="1">
      <c r="D169" s="108"/>
      <c r="E169" s="197"/>
      <c r="F169" s="197"/>
      <c r="G169" s="198"/>
    </row>
    <row r="170" ht="15.75" customHeight="1">
      <c r="D170" s="108"/>
      <c r="E170" s="197"/>
      <c r="F170" s="197"/>
      <c r="G170" s="198"/>
    </row>
    <row r="171" ht="15.75" customHeight="1">
      <c r="D171" s="108"/>
      <c r="E171" s="197"/>
      <c r="F171" s="197"/>
      <c r="G171" s="198"/>
    </row>
    <row r="172" ht="15.75" customHeight="1">
      <c r="D172" s="108"/>
      <c r="E172" s="197"/>
      <c r="F172" s="197"/>
      <c r="G172" s="198"/>
    </row>
    <row r="173" ht="15.75" customHeight="1">
      <c r="D173" s="108"/>
      <c r="E173" s="197"/>
      <c r="F173" s="197"/>
      <c r="G173" s="198"/>
    </row>
    <row r="174" ht="15.75" customHeight="1">
      <c r="D174" s="108"/>
      <c r="E174" s="197"/>
      <c r="F174" s="197"/>
      <c r="G174" s="198"/>
    </row>
    <row r="175" ht="15.75" customHeight="1">
      <c r="D175" s="108"/>
      <c r="E175" s="197"/>
      <c r="F175" s="197"/>
      <c r="G175" s="198"/>
    </row>
    <row r="176" ht="15.75" customHeight="1">
      <c r="D176" s="108"/>
      <c r="E176" s="197"/>
      <c r="F176" s="197"/>
      <c r="G176" s="198"/>
    </row>
    <row r="177" ht="15.75" customHeight="1">
      <c r="D177" s="108"/>
      <c r="E177" s="197"/>
      <c r="F177" s="197"/>
      <c r="G177" s="198"/>
    </row>
    <row r="178" ht="15.75" customHeight="1">
      <c r="D178" s="108"/>
      <c r="E178" s="197"/>
      <c r="F178" s="197"/>
      <c r="G178" s="198"/>
    </row>
    <row r="179" ht="15.75" customHeight="1">
      <c r="D179" s="108"/>
      <c r="E179" s="197"/>
      <c r="F179" s="197"/>
      <c r="G179" s="198"/>
    </row>
    <row r="180" ht="15.75" customHeight="1">
      <c r="D180" s="108"/>
      <c r="E180" s="197"/>
      <c r="F180" s="197"/>
      <c r="G180" s="198"/>
    </row>
    <row r="181" ht="15.75" customHeight="1">
      <c r="D181" s="108"/>
      <c r="E181" s="197"/>
      <c r="F181" s="197"/>
      <c r="G181" s="198"/>
    </row>
    <row r="182" ht="15.75" customHeight="1">
      <c r="D182" s="108"/>
      <c r="E182" s="197"/>
      <c r="F182" s="197"/>
      <c r="G182" s="198"/>
    </row>
    <row r="183" ht="15.75" customHeight="1">
      <c r="D183" s="108"/>
      <c r="E183" s="197"/>
      <c r="F183" s="197"/>
      <c r="G183" s="198"/>
    </row>
    <row r="184" ht="15.75" customHeight="1">
      <c r="D184" s="108"/>
      <c r="E184" s="197"/>
      <c r="F184" s="197"/>
      <c r="G184" s="198"/>
    </row>
    <row r="185" ht="15.75" customHeight="1">
      <c r="D185" s="108"/>
      <c r="E185" s="197"/>
      <c r="F185" s="197"/>
      <c r="G185" s="198"/>
    </row>
    <row r="186" ht="15.75" customHeight="1">
      <c r="D186" s="108"/>
      <c r="E186" s="197"/>
      <c r="F186" s="197"/>
      <c r="G186" s="198"/>
    </row>
    <row r="187" ht="15.75" customHeight="1">
      <c r="D187" s="108"/>
      <c r="E187" s="197"/>
      <c r="F187" s="197"/>
      <c r="G187" s="198"/>
    </row>
    <row r="188" ht="15.75" customHeight="1">
      <c r="D188" s="108"/>
      <c r="E188" s="197"/>
      <c r="F188" s="197"/>
      <c r="G188" s="198"/>
    </row>
    <row r="189" ht="15.75" customHeight="1">
      <c r="D189" s="108"/>
      <c r="E189" s="197"/>
      <c r="F189" s="197"/>
      <c r="G189" s="198"/>
    </row>
    <row r="190" ht="15.75" customHeight="1">
      <c r="D190" s="108"/>
      <c r="E190" s="197"/>
      <c r="F190" s="197"/>
      <c r="G190" s="198"/>
    </row>
    <row r="191" ht="15.75" customHeight="1">
      <c r="D191" s="108"/>
      <c r="E191" s="197"/>
      <c r="F191" s="197"/>
      <c r="G191" s="198"/>
    </row>
    <row r="192" ht="15.75" customHeight="1">
      <c r="D192" s="108"/>
      <c r="E192" s="197"/>
      <c r="F192" s="197"/>
      <c r="G192" s="198"/>
    </row>
    <row r="193" ht="15.75" customHeight="1">
      <c r="D193" s="108"/>
      <c r="E193" s="197"/>
      <c r="F193" s="197"/>
      <c r="G193" s="198"/>
    </row>
    <row r="194" ht="15.75" customHeight="1">
      <c r="D194" s="108"/>
      <c r="E194" s="197"/>
      <c r="F194" s="197"/>
      <c r="G194" s="198"/>
    </row>
    <row r="195" ht="15.75" customHeight="1">
      <c r="D195" s="108"/>
      <c r="E195" s="197"/>
      <c r="F195" s="197"/>
      <c r="G195" s="198"/>
    </row>
    <row r="196" ht="15.75" customHeight="1">
      <c r="D196" s="108"/>
      <c r="E196" s="197"/>
      <c r="F196" s="197"/>
      <c r="G196" s="198"/>
    </row>
    <row r="197" ht="15.75" customHeight="1">
      <c r="D197" s="108"/>
      <c r="E197" s="197"/>
      <c r="F197" s="197"/>
      <c r="G197" s="198"/>
    </row>
    <row r="198" ht="15.75" customHeight="1">
      <c r="D198" s="108"/>
      <c r="E198" s="197"/>
      <c r="F198" s="197"/>
      <c r="G198" s="198"/>
    </row>
    <row r="199" ht="15.75" customHeight="1">
      <c r="D199" s="108"/>
      <c r="E199" s="197"/>
      <c r="F199" s="197"/>
      <c r="G199" s="198"/>
    </row>
    <row r="200" ht="15.75" customHeight="1">
      <c r="D200" s="108"/>
      <c r="E200" s="197"/>
      <c r="F200" s="197"/>
      <c r="G200" s="198"/>
    </row>
    <row r="201" ht="15.75" customHeight="1">
      <c r="D201" s="108"/>
      <c r="E201" s="197"/>
      <c r="F201" s="197"/>
      <c r="G201" s="198"/>
    </row>
    <row r="202" ht="15.75" customHeight="1">
      <c r="D202" s="108"/>
      <c r="E202" s="197"/>
      <c r="F202" s="197"/>
      <c r="G202" s="198"/>
    </row>
    <row r="203" ht="15.75" customHeight="1">
      <c r="D203" s="108"/>
      <c r="E203" s="197"/>
      <c r="F203" s="197"/>
      <c r="G203" s="198"/>
    </row>
    <row r="204" ht="15.75" customHeight="1">
      <c r="D204" s="108"/>
      <c r="E204" s="197"/>
      <c r="F204" s="197"/>
      <c r="G204" s="198"/>
    </row>
    <row r="205" ht="15.75" customHeight="1">
      <c r="D205" s="108"/>
      <c r="E205" s="197"/>
      <c r="F205" s="197"/>
      <c r="G205" s="198"/>
    </row>
    <row r="206" ht="15.75" customHeight="1">
      <c r="D206" s="108"/>
      <c r="E206" s="197"/>
      <c r="F206" s="197"/>
      <c r="G206" s="198"/>
    </row>
    <row r="207" ht="15.75" customHeight="1">
      <c r="D207" s="108"/>
      <c r="E207" s="197"/>
      <c r="F207" s="197"/>
      <c r="G207" s="198"/>
    </row>
    <row r="208" ht="15.75" customHeight="1">
      <c r="D208" s="108"/>
      <c r="E208" s="197"/>
      <c r="F208" s="197"/>
      <c r="G208" s="198"/>
    </row>
    <row r="209" ht="15.75" customHeight="1">
      <c r="D209" s="108"/>
      <c r="E209" s="197"/>
      <c r="F209" s="197"/>
      <c r="G209" s="198"/>
    </row>
    <row r="210" ht="15.75" customHeight="1">
      <c r="D210" s="108"/>
      <c r="E210" s="197"/>
      <c r="F210" s="197"/>
      <c r="G210" s="198"/>
    </row>
    <row r="211" ht="15.75" customHeight="1">
      <c r="D211" s="108"/>
      <c r="E211" s="197"/>
      <c r="F211" s="197"/>
      <c r="G211" s="198"/>
    </row>
    <row r="212" ht="15.75" customHeight="1">
      <c r="D212" s="108"/>
      <c r="E212" s="197"/>
      <c r="F212" s="197"/>
      <c r="G212" s="198"/>
    </row>
    <row r="213" ht="15.75" customHeight="1">
      <c r="D213" s="108"/>
      <c r="E213" s="197"/>
      <c r="F213" s="197"/>
      <c r="G213" s="198"/>
    </row>
    <row r="214" ht="15.75" customHeight="1">
      <c r="D214" s="108"/>
      <c r="E214" s="197"/>
      <c r="F214" s="197"/>
      <c r="G214" s="198"/>
    </row>
    <row r="215" ht="15.75" customHeight="1">
      <c r="D215" s="108"/>
      <c r="E215" s="197"/>
      <c r="F215" s="197"/>
      <c r="G215" s="198"/>
    </row>
    <row r="216" ht="15.75" customHeight="1">
      <c r="D216" s="108"/>
      <c r="E216" s="197"/>
      <c r="F216" s="197"/>
      <c r="G216" s="198"/>
    </row>
    <row r="217" ht="15.75" customHeight="1">
      <c r="D217" s="108"/>
      <c r="E217" s="197"/>
      <c r="F217" s="197"/>
      <c r="G217" s="198"/>
    </row>
    <row r="218" ht="15.75" customHeight="1">
      <c r="D218" s="108"/>
      <c r="E218" s="197"/>
      <c r="F218" s="197"/>
      <c r="G218" s="198"/>
    </row>
    <row r="219" ht="15.75" customHeight="1">
      <c r="D219" s="108"/>
      <c r="E219" s="197"/>
      <c r="F219" s="197"/>
      <c r="G219" s="198"/>
    </row>
    <row r="220" ht="15.75" customHeight="1">
      <c r="D220" s="108"/>
      <c r="E220" s="197"/>
      <c r="F220" s="197"/>
      <c r="G220" s="198"/>
    </row>
    <row r="221" ht="15.75" customHeight="1">
      <c r="D221" s="108"/>
      <c r="E221" s="197"/>
      <c r="F221" s="197"/>
      <c r="G221" s="198"/>
    </row>
    <row r="222" ht="15.75" customHeight="1">
      <c r="D222" s="108"/>
      <c r="E222" s="197"/>
      <c r="F222" s="197"/>
      <c r="G222" s="198"/>
    </row>
    <row r="223" ht="15.75" customHeight="1">
      <c r="D223" s="108"/>
      <c r="E223" s="197"/>
      <c r="F223" s="197"/>
      <c r="G223" s="198"/>
    </row>
    <row r="224" ht="15.75" customHeight="1">
      <c r="D224" s="108"/>
      <c r="E224" s="197"/>
      <c r="F224" s="197"/>
      <c r="G224" s="198"/>
    </row>
    <row r="225" ht="15.75" customHeight="1">
      <c r="D225" s="108"/>
      <c r="E225" s="197"/>
      <c r="F225" s="197"/>
      <c r="G225" s="198"/>
    </row>
    <row r="226" ht="15.75" customHeight="1">
      <c r="D226" s="108"/>
      <c r="E226" s="197"/>
      <c r="F226" s="197"/>
      <c r="G226" s="198"/>
    </row>
    <row r="227" ht="15.75" customHeight="1">
      <c r="D227" s="108"/>
      <c r="E227" s="197"/>
      <c r="F227" s="197"/>
      <c r="G227" s="198"/>
    </row>
    <row r="228" ht="15.75" customHeight="1">
      <c r="D228" s="108"/>
      <c r="E228" s="197"/>
      <c r="F228" s="197"/>
      <c r="G228" s="198"/>
    </row>
    <row r="229" ht="15.75" customHeight="1">
      <c r="D229" s="108"/>
      <c r="E229" s="197"/>
      <c r="F229" s="197"/>
      <c r="G229" s="198"/>
    </row>
    <row r="230" ht="15.75" customHeight="1">
      <c r="D230" s="108"/>
      <c r="E230" s="197"/>
      <c r="F230" s="197"/>
      <c r="G230" s="198"/>
    </row>
    <row r="231" ht="15.75" customHeight="1">
      <c r="D231" s="108"/>
      <c r="E231" s="197"/>
      <c r="F231" s="197"/>
      <c r="G231" s="198"/>
    </row>
    <row r="232" ht="15.75" customHeight="1">
      <c r="D232" s="108"/>
      <c r="E232" s="197"/>
      <c r="F232" s="197"/>
      <c r="G232" s="198"/>
    </row>
    <row r="233" ht="15.75" customHeight="1">
      <c r="D233" s="108"/>
      <c r="E233" s="197"/>
      <c r="F233" s="197"/>
      <c r="G233" s="198"/>
    </row>
    <row r="234" ht="15.75" customHeight="1">
      <c r="D234" s="108"/>
      <c r="E234" s="197"/>
      <c r="F234" s="197"/>
      <c r="G234" s="198"/>
    </row>
    <row r="235" ht="15.75" customHeight="1">
      <c r="D235" s="108"/>
      <c r="E235" s="197"/>
      <c r="F235" s="197"/>
      <c r="G235" s="198"/>
    </row>
    <row r="236" ht="15.75" customHeight="1">
      <c r="D236" s="108"/>
      <c r="E236" s="197"/>
      <c r="F236" s="197"/>
      <c r="G236" s="198"/>
    </row>
    <row r="237" ht="15.75" customHeight="1">
      <c r="D237" s="108"/>
      <c r="E237" s="197"/>
      <c r="F237" s="197"/>
      <c r="G237" s="198"/>
    </row>
    <row r="238" ht="15.75" customHeight="1">
      <c r="D238" s="108"/>
      <c r="E238" s="197"/>
      <c r="F238" s="197"/>
      <c r="G238" s="198"/>
    </row>
    <row r="239" ht="15.75" customHeight="1">
      <c r="D239" s="108"/>
      <c r="E239" s="197"/>
      <c r="F239" s="197"/>
      <c r="G239" s="198"/>
    </row>
    <row r="240" ht="15.75" customHeight="1">
      <c r="D240" s="108"/>
      <c r="E240" s="197"/>
      <c r="F240" s="197"/>
      <c r="G240" s="198"/>
    </row>
    <row r="241" ht="15.75" customHeight="1">
      <c r="D241" s="108"/>
      <c r="E241" s="197"/>
      <c r="F241" s="197"/>
      <c r="G241" s="198"/>
    </row>
    <row r="242" ht="15.75" customHeight="1">
      <c r="D242" s="108"/>
      <c r="E242" s="197"/>
      <c r="F242" s="197"/>
      <c r="G242" s="198"/>
    </row>
    <row r="243" ht="15.75" customHeight="1">
      <c r="D243" s="108"/>
      <c r="E243" s="197"/>
      <c r="F243" s="197"/>
      <c r="G243" s="198"/>
    </row>
    <row r="244" ht="15.75" customHeight="1">
      <c r="D244" s="108"/>
      <c r="E244" s="197"/>
      <c r="F244" s="197"/>
      <c r="G244" s="198"/>
    </row>
    <row r="245" ht="15.75" customHeight="1">
      <c r="D245" s="108"/>
      <c r="E245" s="197"/>
      <c r="F245" s="197"/>
      <c r="G245" s="198"/>
    </row>
    <row r="246" ht="15.75" customHeight="1">
      <c r="D246" s="108"/>
      <c r="E246" s="197"/>
      <c r="F246" s="197"/>
      <c r="G246" s="198"/>
    </row>
    <row r="247" ht="15.75" customHeight="1">
      <c r="D247" s="108"/>
      <c r="E247" s="197"/>
      <c r="F247" s="197"/>
      <c r="G247" s="198"/>
    </row>
    <row r="248" ht="15.75" customHeight="1">
      <c r="D248" s="108"/>
      <c r="E248" s="197"/>
      <c r="F248" s="197"/>
      <c r="G248" s="198"/>
    </row>
    <row r="249" ht="15.75" customHeight="1">
      <c r="D249" s="108"/>
      <c r="E249" s="197"/>
      <c r="F249" s="197"/>
      <c r="G249" s="198"/>
    </row>
    <row r="250" ht="15.75" customHeight="1">
      <c r="D250" s="108"/>
      <c r="E250" s="197"/>
      <c r="F250" s="197"/>
      <c r="G250" s="198"/>
    </row>
    <row r="251" ht="15.75" customHeight="1">
      <c r="D251" s="108"/>
      <c r="E251" s="197"/>
      <c r="F251" s="197"/>
      <c r="G251" s="198"/>
    </row>
    <row r="252" ht="15.75" customHeight="1">
      <c r="D252" s="108"/>
      <c r="E252" s="197"/>
      <c r="F252" s="197"/>
      <c r="G252" s="198"/>
    </row>
    <row r="253" ht="15.75" customHeight="1">
      <c r="D253" s="108"/>
      <c r="E253" s="197"/>
      <c r="F253" s="197"/>
      <c r="G253" s="198"/>
    </row>
    <row r="254" ht="15.75" customHeight="1">
      <c r="D254" s="108"/>
      <c r="E254" s="197"/>
      <c r="F254" s="197"/>
      <c r="G254" s="198"/>
    </row>
    <row r="255" ht="15.75" customHeight="1">
      <c r="D255" s="108"/>
      <c r="E255" s="197"/>
      <c r="F255" s="197"/>
      <c r="G255" s="198"/>
    </row>
    <row r="256" ht="15.75" customHeight="1">
      <c r="D256" s="108"/>
      <c r="E256" s="197"/>
      <c r="F256" s="197"/>
      <c r="G256" s="198"/>
    </row>
    <row r="257" ht="15.75" customHeight="1">
      <c r="D257" s="108"/>
      <c r="E257" s="197"/>
      <c r="F257" s="197"/>
      <c r="G257" s="198"/>
    </row>
    <row r="258" ht="15.75" customHeight="1">
      <c r="D258" s="108"/>
      <c r="E258" s="197"/>
      <c r="F258" s="197"/>
      <c r="G258" s="198"/>
    </row>
    <row r="259" ht="15.75" customHeight="1">
      <c r="D259" s="108"/>
      <c r="E259" s="197"/>
      <c r="F259" s="197"/>
      <c r="G259" s="198"/>
    </row>
    <row r="260" ht="15.75" customHeight="1">
      <c r="D260" s="108"/>
      <c r="E260" s="197"/>
      <c r="F260" s="197"/>
      <c r="G260" s="198"/>
    </row>
    <row r="261" ht="15.75" customHeight="1">
      <c r="D261" s="108"/>
      <c r="E261" s="197"/>
      <c r="F261" s="197"/>
      <c r="G261" s="198"/>
    </row>
    <row r="262" ht="15.75" customHeight="1">
      <c r="D262" s="108"/>
      <c r="E262" s="197"/>
      <c r="F262" s="197"/>
      <c r="G262" s="198"/>
    </row>
    <row r="263" ht="15.75" customHeight="1">
      <c r="D263" s="108"/>
      <c r="E263" s="197"/>
      <c r="F263" s="197"/>
      <c r="G263" s="198"/>
    </row>
    <row r="264" ht="15.75" customHeight="1">
      <c r="D264" s="108"/>
      <c r="E264" s="197"/>
      <c r="F264" s="197"/>
      <c r="G264" s="198"/>
    </row>
    <row r="265" ht="15.75" customHeight="1">
      <c r="D265" s="108"/>
      <c r="E265" s="197"/>
      <c r="F265" s="197"/>
      <c r="G265" s="198"/>
    </row>
    <row r="266" ht="15.75" customHeight="1">
      <c r="D266" s="108"/>
      <c r="E266" s="197"/>
      <c r="F266" s="197"/>
      <c r="G266" s="198"/>
    </row>
    <row r="267" ht="15.75" customHeight="1">
      <c r="D267" s="108"/>
      <c r="E267" s="197"/>
      <c r="F267" s="197"/>
      <c r="G267" s="198"/>
    </row>
    <row r="268" ht="15.75" customHeight="1">
      <c r="D268" s="108"/>
      <c r="E268" s="197"/>
      <c r="F268" s="197"/>
      <c r="G268" s="198"/>
    </row>
    <row r="269" ht="15.75" customHeight="1">
      <c r="D269" s="108"/>
      <c r="E269" s="197"/>
      <c r="F269" s="197"/>
      <c r="G269" s="198"/>
    </row>
    <row r="270" ht="15.75" customHeight="1">
      <c r="D270" s="108"/>
      <c r="E270" s="197"/>
      <c r="F270" s="197"/>
      <c r="G270" s="198"/>
    </row>
    <row r="271" ht="15.75" customHeight="1">
      <c r="D271" s="108"/>
      <c r="E271" s="197"/>
      <c r="F271" s="197"/>
      <c r="G271" s="198"/>
    </row>
    <row r="272" ht="15.75" customHeight="1">
      <c r="D272" s="108"/>
      <c r="E272" s="197"/>
      <c r="F272" s="197"/>
      <c r="G272" s="198"/>
    </row>
    <row r="273" ht="15.75" customHeight="1">
      <c r="D273" s="108"/>
      <c r="E273" s="197"/>
      <c r="F273" s="197"/>
      <c r="G273" s="198"/>
    </row>
    <row r="274" ht="15.75" customHeight="1">
      <c r="D274" s="108"/>
      <c r="E274" s="197"/>
      <c r="F274" s="197"/>
      <c r="G274" s="198"/>
    </row>
    <row r="275" ht="15.75" customHeight="1">
      <c r="D275" s="108"/>
      <c r="E275" s="197"/>
      <c r="F275" s="197"/>
      <c r="G275" s="198"/>
    </row>
    <row r="276" ht="15.75" customHeight="1">
      <c r="D276" s="108"/>
      <c r="E276" s="197"/>
      <c r="F276" s="197"/>
      <c r="G276" s="198"/>
    </row>
    <row r="277" ht="15.75" customHeight="1">
      <c r="D277" s="108"/>
      <c r="E277" s="197"/>
      <c r="F277" s="197"/>
      <c r="G277" s="198"/>
    </row>
    <row r="278" ht="15.75" customHeight="1">
      <c r="D278" s="108"/>
      <c r="E278" s="197"/>
      <c r="F278" s="197"/>
      <c r="G278" s="198"/>
    </row>
    <row r="279" ht="15.75" customHeight="1">
      <c r="D279" s="108"/>
      <c r="E279" s="197"/>
      <c r="F279" s="197"/>
      <c r="G279" s="198"/>
    </row>
    <row r="280" ht="15.75" customHeight="1">
      <c r="D280" s="108"/>
      <c r="E280" s="197"/>
      <c r="F280" s="197"/>
      <c r="G280" s="198"/>
    </row>
    <row r="281" ht="15.75" customHeight="1">
      <c r="D281" s="108"/>
      <c r="E281" s="197"/>
      <c r="F281" s="197"/>
      <c r="G281" s="198"/>
    </row>
    <row r="282" ht="15.75" customHeight="1">
      <c r="D282" s="108"/>
      <c r="E282" s="197"/>
      <c r="F282" s="197"/>
      <c r="G282" s="198"/>
    </row>
    <row r="283" ht="15.75" customHeight="1">
      <c r="D283" s="108"/>
      <c r="E283" s="197"/>
      <c r="F283" s="197"/>
      <c r="G283" s="198"/>
    </row>
    <row r="284" ht="15.75" customHeight="1">
      <c r="D284" s="108"/>
      <c r="E284" s="197"/>
      <c r="F284" s="197"/>
      <c r="G284" s="198"/>
    </row>
    <row r="285" ht="15.75" customHeight="1">
      <c r="D285" s="108"/>
      <c r="E285" s="197"/>
      <c r="F285" s="197"/>
      <c r="G285" s="198"/>
    </row>
    <row r="286" ht="15.75" customHeight="1">
      <c r="D286" s="108"/>
      <c r="E286" s="197"/>
      <c r="F286" s="197"/>
      <c r="G286" s="198"/>
    </row>
    <row r="287" ht="15.75" customHeight="1">
      <c r="D287" s="108"/>
      <c r="E287" s="197"/>
      <c r="F287" s="197"/>
      <c r="G287" s="198"/>
    </row>
    <row r="288" ht="15.75" customHeight="1">
      <c r="D288" s="108"/>
      <c r="E288" s="197"/>
      <c r="F288" s="197"/>
      <c r="G288" s="198"/>
    </row>
    <row r="289" ht="15.75" customHeight="1">
      <c r="D289" s="108"/>
      <c r="E289" s="197"/>
      <c r="F289" s="197"/>
      <c r="G289" s="198"/>
    </row>
    <row r="290" ht="15.75" customHeight="1">
      <c r="D290" s="108"/>
      <c r="E290" s="197"/>
      <c r="F290" s="197"/>
      <c r="G290" s="198"/>
    </row>
    <row r="291" ht="15.75" customHeight="1">
      <c r="D291" s="108"/>
      <c r="E291" s="197"/>
      <c r="F291" s="197"/>
      <c r="G291" s="198"/>
    </row>
    <row r="292" ht="15.75" customHeight="1">
      <c r="D292" s="108"/>
      <c r="E292" s="197"/>
      <c r="F292" s="197"/>
      <c r="G292" s="198"/>
    </row>
    <row r="293" ht="15.75" customHeight="1">
      <c r="D293" s="108"/>
      <c r="E293" s="197"/>
      <c r="F293" s="197"/>
      <c r="G293" s="198"/>
    </row>
    <row r="294" ht="15.75" customHeight="1">
      <c r="D294" s="108"/>
      <c r="E294" s="197"/>
      <c r="F294" s="197"/>
      <c r="G294" s="198"/>
    </row>
    <row r="295" ht="15.75" customHeight="1">
      <c r="D295" s="108"/>
      <c r="E295" s="197"/>
      <c r="F295" s="197"/>
      <c r="G295" s="198"/>
    </row>
    <row r="296" ht="15.75" customHeight="1">
      <c r="D296" s="108"/>
      <c r="E296" s="197"/>
      <c r="F296" s="197"/>
      <c r="G296" s="198"/>
    </row>
    <row r="297" ht="15.75" customHeight="1">
      <c r="D297" s="108"/>
      <c r="E297" s="197"/>
      <c r="F297" s="197"/>
      <c r="G297" s="198"/>
    </row>
    <row r="298" ht="15.75" customHeight="1">
      <c r="D298" s="108"/>
      <c r="E298" s="197"/>
      <c r="F298" s="197"/>
      <c r="G298" s="198"/>
    </row>
    <row r="299" ht="15.75" customHeight="1">
      <c r="D299" s="108"/>
      <c r="E299" s="197"/>
      <c r="F299" s="197"/>
      <c r="G299" s="198"/>
    </row>
    <row r="300" ht="15.75" customHeight="1">
      <c r="D300" s="108"/>
      <c r="E300" s="197"/>
      <c r="F300" s="197"/>
      <c r="G300" s="198"/>
    </row>
    <row r="301" ht="15.75" customHeight="1">
      <c r="D301" s="108"/>
      <c r="E301" s="197"/>
      <c r="F301" s="197"/>
      <c r="G301" s="198"/>
    </row>
    <row r="302" ht="15.75" customHeight="1">
      <c r="D302" s="108"/>
      <c r="E302" s="197"/>
      <c r="F302" s="197"/>
      <c r="G302" s="198"/>
    </row>
    <row r="303" ht="15.75" customHeight="1">
      <c r="D303" s="108"/>
      <c r="E303" s="197"/>
      <c r="F303" s="197"/>
      <c r="G303" s="198"/>
    </row>
    <row r="304" ht="15.75" customHeight="1">
      <c r="D304" s="108"/>
      <c r="E304" s="197"/>
      <c r="F304" s="197"/>
      <c r="G304" s="198"/>
    </row>
    <row r="305" ht="15.75" customHeight="1">
      <c r="D305" s="108"/>
      <c r="E305" s="197"/>
      <c r="F305" s="197"/>
      <c r="G305" s="198"/>
    </row>
    <row r="306" ht="15.75" customHeight="1">
      <c r="D306" s="108"/>
      <c r="E306" s="197"/>
      <c r="F306" s="197"/>
      <c r="G306" s="198"/>
    </row>
    <row r="307" ht="15.75" customHeight="1">
      <c r="D307" s="108"/>
      <c r="E307" s="197"/>
      <c r="F307" s="197"/>
      <c r="G307" s="198"/>
    </row>
    <row r="308" ht="15.75" customHeight="1">
      <c r="D308" s="108"/>
      <c r="E308" s="197"/>
      <c r="F308" s="197"/>
      <c r="G308" s="198"/>
    </row>
    <row r="309" ht="15.75" customHeight="1">
      <c r="D309" s="108"/>
      <c r="E309" s="197"/>
      <c r="F309" s="197"/>
      <c r="G309" s="198"/>
    </row>
    <row r="310" ht="15.75" customHeight="1">
      <c r="D310" s="108"/>
      <c r="E310" s="197"/>
      <c r="F310" s="197"/>
      <c r="G310" s="198"/>
    </row>
    <row r="311" ht="15.75" customHeight="1">
      <c r="D311" s="108"/>
      <c r="E311" s="197"/>
      <c r="F311" s="197"/>
      <c r="G311" s="198"/>
    </row>
    <row r="312" ht="15.75" customHeight="1">
      <c r="D312" s="108"/>
      <c r="E312" s="197"/>
      <c r="F312" s="197"/>
      <c r="G312" s="198"/>
    </row>
    <row r="313" ht="15.75" customHeight="1">
      <c r="D313" s="108"/>
      <c r="E313" s="197"/>
      <c r="F313" s="197"/>
      <c r="G313" s="198"/>
    </row>
    <row r="314" ht="15.75" customHeight="1">
      <c r="D314" s="108"/>
      <c r="E314" s="197"/>
      <c r="F314" s="197"/>
      <c r="G314" s="198"/>
    </row>
    <row r="315" ht="15.75" customHeight="1">
      <c r="D315" s="108"/>
      <c r="E315" s="197"/>
      <c r="F315" s="197"/>
      <c r="G315" s="198"/>
    </row>
    <row r="316" ht="15.75" customHeight="1">
      <c r="D316" s="108"/>
      <c r="E316" s="197"/>
      <c r="F316" s="197"/>
      <c r="G316" s="198"/>
    </row>
    <row r="317" ht="15.75" customHeight="1">
      <c r="D317" s="108"/>
      <c r="E317" s="197"/>
      <c r="F317" s="197"/>
      <c r="G317" s="198"/>
    </row>
    <row r="318" ht="15.75" customHeight="1">
      <c r="D318" s="108"/>
      <c r="E318" s="197"/>
      <c r="F318" s="197"/>
      <c r="G318" s="198"/>
    </row>
    <row r="319" ht="15.75" customHeight="1">
      <c r="D319" s="108"/>
      <c r="E319" s="197"/>
      <c r="F319" s="197"/>
      <c r="G319" s="198"/>
    </row>
    <row r="320" ht="15.75" customHeight="1">
      <c r="D320" s="108"/>
      <c r="E320" s="197"/>
      <c r="F320" s="197"/>
      <c r="G320" s="198"/>
    </row>
    <row r="321" ht="15.75" customHeight="1">
      <c r="D321" s="108"/>
      <c r="E321" s="197"/>
      <c r="F321" s="197"/>
      <c r="G321" s="198"/>
    </row>
    <row r="322" ht="15.75" customHeight="1">
      <c r="D322" s="108"/>
      <c r="E322" s="197"/>
      <c r="F322" s="197"/>
      <c r="G322" s="198"/>
    </row>
    <row r="323" ht="15.75" customHeight="1">
      <c r="D323" s="108"/>
      <c r="E323" s="197"/>
      <c r="F323" s="197"/>
      <c r="G323" s="198"/>
    </row>
    <row r="324" ht="15.75" customHeight="1">
      <c r="D324" s="108"/>
      <c r="E324" s="197"/>
      <c r="F324" s="197"/>
      <c r="G324" s="198"/>
    </row>
    <row r="325" ht="15.75" customHeight="1">
      <c r="D325" s="108"/>
      <c r="E325" s="197"/>
      <c r="F325" s="197"/>
      <c r="G325" s="198"/>
    </row>
    <row r="326" ht="15.75" customHeight="1">
      <c r="D326" s="108"/>
      <c r="E326" s="197"/>
      <c r="F326" s="197"/>
      <c r="G326" s="198"/>
    </row>
    <row r="327" ht="15.75" customHeight="1">
      <c r="D327" s="108"/>
      <c r="E327" s="197"/>
      <c r="F327" s="197"/>
      <c r="G327" s="198"/>
    </row>
    <row r="328" ht="15.75" customHeight="1">
      <c r="D328" s="108"/>
      <c r="E328" s="197"/>
      <c r="F328" s="197"/>
      <c r="G328" s="198"/>
    </row>
    <row r="329" ht="15.75" customHeight="1">
      <c r="D329" s="108"/>
      <c r="E329" s="197"/>
      <c r="F329" s="197"/>
      <c r="G329" s="198"/>
    </row>
    <row r="330" ht="15.75" customHeight="1">
      <c r="D330" s="108"/>
      <c r="E330" s="197"/>
      <c r="F330" s="197"/>
      <c r="G330" s="198"/>
    </row>
    <row r="331" ht="15.75" customHeight="1">
      <c r="D331" s="108"/>
      <c r="E331" s="197"/>
      <c r="F331" s="197"/>
      <c r="G331" s="198"/>
    </row>
    <row r="332" ht="15.75" customHeight="1">
      <c r="D332" s="108"/>
      <c r="E332" s="197"/>
      <c r="F332" s="197"/>
      <c r="G332" s="198"/>
    </row>
    <row r="333" ht="15.75" customHeight="1">
      <c r="D333" s="108"/>
      <c r="E333" s="197"/>
      <c r="F333" s="197"/>
      <c r="G333" s="198"/>
    </row>
    <row r="334" ht="15.75" customHeight="1">
      <c r="D334" s="108"/>
      <c r="E334" s="197"/>
      <c r="F334" s="197"/>
      <c r="G334" s="198"/>
    </row>
    <row r="335" ht="15.75" customHeight="1">
      <c r="D335" s="108"/>
      <c r="E335" s="197"/>
      <c r="F335" s="197"/>
      <c r="G335" s="198"/>
    </row>
    <row r="336" ht="15.75" customHeight="1">
      <c r="D336" s="108"/>
      <c r="E336" s="197"/>
      <c r="F336" s="197"/>
      <c r="G336" s="198"/>
    </row>
    <row r="337" ht="15.75" customHeight="1">
      <c r="D337" s="108"/>
      <c r="E337" s="197"/>
      <c r="F337" s="197"/>
      <c r="G337" s="198"/>
    </row>
    <row r="338" ht="15.75" customHeight="1">
      <c r="D338" s="108"/>
      <c r="E338" s="197"/>
      <c r="F338" s="197"/>
      <c r="G338" s="198"/>
    </row>
    <row r="339" ht="15.75" customHeight="1">
      <c r="D339" s="108"/>
      <c r="E339" s="197"/>
      <c r="F339" s="197"/>
      <c r="G339" s="198"/>
    </row>
    <row r="340" ht="15.75" customHeight="1">
      <c r="D340" s="108"/>
      <c r="E340" s="197"/>
      <c r="F340" s="197"/>
      <c r="G340" s="198"/>
    </row>
    <row r="341" ht="15.75" customHeight="1">
      <c r="D341" s="108"/>
      <c r="E341" s="197"/>
      <c r="F341" s="197"/>
      <c r="G341" s="198"/>
    </row>
    <row r="342" ht="15.75" customHeight="1">
      <c r="D342" s="108"/>
      <c r="E342" s="197"/>
      <c r="F342" s="197"/>
      <c r="G342" s="198"/>
    </row>
    <row r="343" ht="15.75" customHeight="1">
      <c r="D343" s="108"/>
      <c r="E343" s="197"/>
      <c r="F343" s="197"/>
      <c r="G343" s="198"/>
    </row>
    <row r="344" ht="15.75" customHeight="1">
      <c r="D344" s="108"/>
      <c r="E344" s="197"/>
      <c r="F344" s="197"/>
      <c r="G344" s="198"/>
    </row>
    <row r="345" ht="15.75" customHeight="1">
      <c r="D345" s="108"/>
      <c r="E345" s="197"/>
      <c r="F345" s="197"/>
      <c r="G345" s="198"/>
    </row>
    <row r="346" ht="15.75" customHeight="1">
      <c r="D346" s="108"/>
      <c r="E346" s="197"/>
      <c r="F346" s="197"/>
      <c r="G346" s="198"/>
    </row>
    <row r="347" ht="15.75" customHeight="1">
      <c r="D347" s="108"/>
      <c r="E347" s="197"/>
      <c r="F347" s="197"/>
      <c r="G347" s="198"/>
    </row>
    <row r="348" ht="15.75" customHeight="1">
      <c r="D348" s="108"/>
      <c r="E348" s="197"/>
      <c r="F348" s="197"/>
      <c r="G348" s="198"/>
    </row>
    <row r="349" ht="15.75" customHeight="1">
      <c r="D349" s="108"/>
      <c r="E349" s="197"/>
      <c r="F349" s="197"/>
      <c r="G349" s="198"/>
    </row>
    <row r="350" ht="15.75" customHeight="1">
      <c r="D350" s="108"/>
      <c r="E350" s="197"/>
      <c r="F350" s="197"/>
      <c r="G350" s="198"/>
    </row>
    <row r="351" ht="15.75" customHeight="1">
      <c r="D351" s="108"/>
      <c r="E351" s="197"/>
      <c r="F351" s="197"/>
      <c r="G351" s="198"/>
    </row>
    <row r="352" ht="15.75" customHeight="1">
      <c r="D352" s="108"/>
      <c r="E352" s="197"/>
      <c r="F352" s="197"/>
      <c r="G352" s="198"/>
    </row>
    <row r="353" ht="15.75" customHeight="1">
      <c r="D353" s="108"/>
      <c r="E353" s="197"/>
      <c r="F353" s="197"/>
      <c r="G353" s="198"/>
    </row>
    <row r="354" ht="15.75" customHeight="1">
      <c r="D354" s="108"/>
      <c r="E354" s="197"/>
      <c r="F354" s="197"/>
      <c r="G354" s="198"/>
    </row>
    <row r="355" ht="15.75" customHeight="1">
      <c r="D355" s="108"/>
      <c r="E355" s="197"/>
      <c r="F355" s="197"/>
      <c r="G355" s="198"/>
    </row>
    <row r="356" ht="15.75" customHeight="1">
      <c r="D356" s="108"/>
      <c r="E356" s="197"/>
      <c r="F356" s="197"/>
      <c r="G356" s="198"/>
    </row>
    <row r="357" ht="15.75" customHeight="1">
      <c r="D357" s="108"/>
      <c r="E357" s="197"/>
      <c r="F357" s="197"/>
      <c r="G357" s="198"/>
    </row>
    <row r="358" ht="15.75" customHeight="1">
      <c r="D358" s="108"/>
      <c r="E358" s="197"/>
      <c r="F358" s="197"/>
      <c r="G358" s="198"/>
    </row>
    <row r="359" ht="15.75" customHeight="1">
      <c r="D359" s="108"/>
      <c r="E359" s="197"/>
      <c r="F359" s="197"/>
      <c r="G359" s="198"/>
    </row>
    <row r="360" ht="15.75" customHeight="1">
      <c r="D360" s="108"/>
      <c r="E360" s="197"/>
      <c r="F360" s="197"/>
      <c r="G360" s="198"/>
    </row>
    <row r="361" ht="15.75" customHeight="1">
      <c r="D361" s="108"/>
      <c r="E361" s="197"/>
      <c r="F361" s="197"/>
      <c r="G361" s="198"/>
    </row>
    <row r="362" ht="15.75" customHeight="1">
      <c r="D362" s="108"/>
      <c r="E362" s="197"/>
      <c r="F362" s="197"/>
      <c r="G362" s="198"/>
    </row>
    <row r="363" ht="15.75" customHeight="1">
      <c r="D363" s="108"/>
      <c r="E363" s="197"/>
      <c r="F363" s="197"/>
      <c r="G363" s="198"/>
    </row>
    <row r="364" ht="15.75" customHeight="1">
      <c r="D364" s="108"/>
      <c r="E364" s="197"/>
      <c r="F364" s="197"/>
      <c r="G364" s="198"/>
    </row>
    <row r="365" ht="15.75" customHeight="1">
      <c r="D365" s="108"/>
      <c r="E365" s="197"/>
      <c r="F365" s="197"/>
      <c r="G365" s="198"/>
    </row>
    <row r="366" ht="15.75" customHeight="1">
      <c r="D366" s="108"/>
      <c r="E366" s="197"/>
      <c r="F366" s="197"/>
      <c r="G366" s="198"/>
    </row>
    <row r="367" ht="15.75" customHeight="1">
      <c r="D367" s="108"/>
      <c r="E367" s="197"/>
      <c r="F367" s="197"/>
      <c r="G367" s="198"/>
    </row>
    <row r="368" ht="15.75" customHeight="1">
      <c r="D368" s="108"/>
      <c r="E368" s="197"/>
      <c r="F368" s="197"/>
      <c r="G368" s="198"/>
    </row>
    <row r="369" ht="15.75" customHeight="1">
      <c r="D369" s="108"/>
      <c r="E369" s="197"/>
      <c r="F369" s="197"/>
      <c r="G369" s="198"/>
    </row>
    <row r="370" ht="15.75" customHeight="1">
      <c r="D370" s="108"/>
      <c r="E370" s="197"/>
      <c r="F370" s="197"/>
      <c r="G370" s="198"/>
    </row>
    <row r="371" ht="15.75" customHeight="1">
      <c r="D371" s="108"/>
      <c r="E371" s="197"/>
      <c r="F371" s="197"/>
      <c r="G371" s="198"/>
    </row>
    <row r="372" ht="15.75" customHeight="1">
      <c r="D372" s="108"/>
      <c r="E372" s="197"/>
      <c r="F372" s="197"/>
      <c r="G372" s="198"/>
    </row>
    <row r="373" ht="15.75" customHeight="1">
      <c r="D373" s="108"/>
      <c r="E373" s="197"/>
      <c r="F373" s="197"/>
      <c r="G373" s="198"/>
    </row>
    <row r="374" ht="15.75" customHeight="1">
      <c r="D374" s="108"/>
      <c r="E374" s="197"/>
      <c r="F374" s="197"/>
      <c r="G374" s="198"/>
    </row>
    <row r="375" ht="15.75" customHeight="1">
      <c r="D375" s="108"/>
      <c r="E375" s="197"/>
      <c r="F375" s="197"/>
      <c r="G375" s="198"/>
    </row>
    <row r="376" ht="15.75" customHeight="1">
      <c r="D376" s="108"/>
      <c r="E376" s="197"/>
      <c r="F376" s="197"/>
      <c r="G376" s="198"/>
    </row>
    <row r="377" ht="15.75" customHeight="1">
      <c r="D377" s="108"/>
      <c r="E377" s="197"/>
      <c r="F377" s="197"/>
      <c r="G377" s="198"/>
    </row>
    <row r="378" ht="15.75" customHeight="1">
      <c r="D378" s="108"/>
      <c r="E378" s="197"/>
      <c r="F378" s="197"/>
      <c r="G378" s="198"/>
    </row>
    <row r="379" ht="15.75" customHeight="1">
      <c r="D379" s="108"/>
      <c r="E379" s="197"/>
      <c r="F379" s="197"/>
      <c r="G379" s="198"/>
    </row>
    <row r="380" ht="15.75" customHeight="1">
      <c r="D380" s="108"/>
      <c r="E380" s="197"/>
      <c r="F380" s="197"/>
      <c r="G380" s="198"/>
    </row>
    <row r="381" ht="15.75" customHeight="1">
      <c r="D381" s="108"/>
      <c r="E381" s="197"/>
      <c r="F381" s="197"/>
      <c r="G381" s="198"/>
    </row>
    <row r="382" ht="15.75" customHeight="1">
      <c r="D382" s="108"/>
      <c r="E382" s="197"/>
      <c r="F382" s="197"/>
      <c r="G382" s="198"/>
    </row>
    <row r="383" ht="15.75" customHeight="1">
      <c r="D383" s="108"/>
      <c r="E383" s="197"/>
      <c r="F383" s="197"/>
      <c r="G383" s="198"/>
    </row>
    <row r="384" ht="15.75" customHeight="1">
      <c r="D384" s="108"/>
      <c r="E384" s="197"/>
      <c r="F384" s="197"/>
      <c r="G384" s="198"/>
    </row>
    <row r="385" ht="15.75" customHeight="1">
      <c r="D385" s="108"/>
      <c r="E385" s="197"/>
      <c r="F385" s="197"/>
      <c r="G385" s="198"/>
    </row>
    <row r="386" ht="15.75" customHeight="1">
      <c r="D386" s="108"/>
      <c r="E386" s="197"/>
      <c r="F386" s="197"/>
      <c r="G386" s="198"/>
    </row>
    <row r="387" ht="15.75" customHeight="1">
      <c r="D387" s="108"/>
      <c r="E387" s="197"/>
      <c r="F387" s="197"/>
      <c r="G387" s="198"/>
    </row>
    <row r="388" ht="15.75" customHeight="1">
      <c r="D388" s="108"/>
      <c r="E388" s="197"/>
      <c r="F388" s="197"/>
      <c r="G388" s="198"/>
    </row>
    <row r="389" ht="15.75" customHeight="1">
      <c r="D389" s="108"/>
      <c r="E389" s="197"/>
      <c r="F389" s="197"/>
      <c r="G389" s="198"/>
    </row>
    <row r="390" ht="15.75" customHeight="1">
      <c r="D390" s="108"/>
      <c r="E390" s="197"/>
      <c r="F390" s="197"/>
      <c r="G390" s="198"/>
    </row>
    <row r="391" ht="15.75" customHeight="1">
      <c r="D391" s="108"/>
      <c r="E391" s="197"/>
      <c r="F391" s="197"/>
      <c r="G391" s="198"/>
    </row>
    <row r="392" ht="15.75" customHeight="1">
      <c r="D392" s="108"/>
      <c r="E392" s="197"/>
      <c r="F392" s="197"/>
      <c r="G392" s="198"/>
    </row>
    <row r="393" ht="15.75" customHeight="1">
      <c r="D393" s="108"/>
      <c r="E393" s="197"/>
      <c r="F393" s="197"/>
      <c r="G393" s="198"/>
    </row>
    <row r="394" ht="15.75" customHeight="1">
      <c r="D394" s="108"/>
      <c r="E394" s="197"/>
      <c r="F394" s="197"/>
      <c r="G394" s="198"/>
    </row>
    <row r="395" ht="15.75" customHeight="1">
      <c r="D395" s="108"/>
      <c r="E395" s="197"/>
      <c r="F395" s="197"/>
      <c r="G395" s="198"/>
    </row>
    <row r="396" ht="15.75" customHeight="1">
      <c r="D396" s="108"/>
      <c r="E396" s="197"/>
      <c r="F396" s="197"/>
      <c r="G396" s="198"/>
    </row>
    <row r="397" ht="15.75" customHeight="1">
      <c r="D397" s="108"/>
      <c r="E397" s="197"/>
      <c r="F397" s="197"/>
      <c r="G397" s="198"/>
    </row>
    <row r="398" ht="15.75" customHeight="1">
      <c r="D398" s="108"/>
      <c r="E398" s="197"/>
      <c r="F398" s="197"/>
      <c r="G398" s="198"/>
    </row>
    <row r="399" ht="15.75" customHeight="1">
      <c r="D399" s="108"/>
      <c r="E399" s="197"/>
      <c r="F399" s="197"/>
      <c r="G399" s="198"/>
    </row>
    <row r="400" ht="15.75" customHeight="1">
      <c r="D400" s="108"/>
      <c r="E400" s="197"/>
      <c r="F400" s="197"/>
      <c r="G400" s="198"/>
    </row>
    <row r="401" ht="15.75" customHeight="1">
      <c r="D401" s="108"/>
      <c r="E401" s="197"/>
      <c r="F401" s="197"/>
      <c r="G401" s="198"/>
    </row>
    <row r="402" ht="15.75" customHeight="1">
      <c r="D402" s="108"/>
      <c r="E402" s="197"/>
      <c r="F402" s="197"/>
      <c r="G402" s="198"/>
    </row>
    <row r="403" ht="15.75" customHeight="1">
      <c r="D403" s="108"/>
      <c r="E403" s="197"/>
      <c r="F403" s="197"/>
      <c r="G403" s="198"/>
    </row>
    <row r="404" ht="15.75" customHeight="1">
      <c r="D404" s="108"/>
      <c r="E404" s="197"/>
      <c r="F404" s="197"/>
      <c r="G404" s="198"/>
    </row>
    <row r="405" ht="15.75" customHeight="1">
      <c r="D405" s="108"/>
      <c r="E405" s="197"/>
      <c r="F405" s="197"/>
      <c r="G405" s="198"/>
    </row>
    <row r="406" ht="15.75" customHeight="1">
      <c r="D406" s="108"/>
      <c r="E406" s="197"/>
      <c r="F406" s="197"/>
      <c r="G406" s="198"/>
    </row>
    <row r="407" ht="15.75" customHeight="1">
      <c r="D407" s="108"/>
      <c r="E407" s="197"/>
      <c r="F407" s="197"/>
      <c r="G407" s="198"/>
    </row>
    <row r="408" ht="15.75" customHeight="1">
      <c r="D408" s="108"/>
      <c r="E408" s="197"/>
      <c r="F408" s="197"/>
      <c r="G408" s="198"/>
    </row>
    <row r="409" ht="15.75" customHeight="1">
      <c r="D409" s="108"/>
      <c r="E409" s="197"/>
      <c r="F409" s="197"/>
      <c r="G409" s="198"/>
    </row>
    <row r="410" ht="15.75" customHeight="1">
      <c r="D410" s="108"/>
      <c r="E410" s="197"/>
      <c r="F410" s="197"/>
      <c r="G410" s="198"/>
    </row>
    <row r="411" ht="15.75" customHeight="1">
      <c r="D411" s="108"/>
      <c r="E411" s="197"/>
      <c r="F411" s="197"/>
      <c r="G411" s="198"/>
    </row>
    <row r="412" ht="15.75" customHeight="1">
      <c r="D412" s="108"/>
      <c r="E412" s="197"/>
      <c r="F412" s="197"/>
      <c r="G412" s="198"/>
    </row>
    <row r="413" ht="15.75" customHeight="1">
      <c r="D413" s="108"/>
      <c r="E413" s="197"/>
      <c r="F413" s="197"/>
      <c r="G413" s="198"/>
    </row>
    <row r="414" ht="15.75" customHeight="1">
      <c r="D414" s="108"/>
      <c r="E414" s="197"/>
      <c r="F414" s="197"/>
      <c r="G414" s="198"/>
    </row>
    <row r="415" ht="15.75" customHeight="1">
      <c r="D415" s="108"/>
      <c r="E415" s="197"/>
      <c r="F415" s="197"/>
      <c r="G415" s="198"/>
    </row>
    <row r="416" ht="15.75" customHeight="1">
      <c r="D416" s="108"/>
      <c r="E416" s="197"/>
      <c r="F416" s="197"/>
      <c r="G416" s="198"/>
    </row>
    <row r="417" ht="15.75" customHeight="1">
      <c r="D417" s="108"/>
      <c r="E417" s="197"/>
      <c r="F417" s="197"/>
      <c r="G417" s="198"/>
    </row>
    <row r="418" ht="15.75" customHeight="1">
      <c r="D418" s="108"/>
      <c r="E418" s="197"/>
      <c r="F418" s="197"/>
      <c r="G418" s="198"/>
    </row>
    <row r="419" ht="15.75" customHeight="1">
      <c r="D419" s="108"/>
      <c r="E419" s="197"/>
      <c r="F419" s="197"/>
      <c r="G419" s="198"/>
    </row>
    <row r="420" ht="15.75" customHeight="1">
      <c r="D420" s="108"/>
      <c r="E420" s="197"/>
      <c r="F420" s="197"/>
      <c r="G420" s="198"/>
    </row>
    <row r="421" ht="15.75" customHeight="1">
      <c r="D421" s="108"/>
      <c r="E421" s="197"/>
      <c r="F421" s="197"/>
      <c r="G421" s="198"/>
    </row>
    <row r="422" ht="15.75" customHeight="1">
      <c r="D422" s="108"/>
      <c r="E422" s="197"/>
      <c r="F422" s="197"/>
      <c r="G422" s="198"/>
    </row>
    <row r="423" ht="15.75" customHeight="1">
      <c r="D423" s="108"/>
      <c r="E423" s="197"/>
      <c r="F423" s="197"/>
      <c r="G423" s="198"/>
    </row>
    <row r="424" ht="15.75" customHeight="1">
      <c r="D424" s="108"/>
      <c r="E424" s="197"/>
      <c r="F424" s="197"/>
      <c r="G424" s="198"/>
    </row>
    <row r="425" ht="15.75" customHeight="1">
      <c r="D425" s="108"/>
      <c r="E425" s="197"/>
      <c r="F425" s="197"/>
      <c r="G425" s="198"/>
    </row>
    <row r="426" ht="15.75" customHeight="1">
      <c r="D426" s="108"/>
      <c r="E426" s="197"/>
      <c r="F426" s="197"/>
      <c r="G426" s="198"/>
    </row>
    <row r="427" ht="15.75" customHeight="1">
      <c r="D427" s="108"/>
      <c r="E427" s="197"/>
      <c r="F427" s="197"/>
      <c r="G427" s="198"/>
    </row>
    <row r="428" ht="15.75" customHeight="1">
      <c r="D428" s="108"/>
      <c r="E428" s="197"/>
      <c r="F428" s="197"/>
      <c r="G428" s="198"/>
    </row>
    <row r="429" ht="15.75" customHeight="1">
      <c r="D429" s="108"/>
      <c r="E429" s="197"/>
      <c r="F429" s="197"/>
      <c r="G429" s="198"/>
    </row>
    <row r="430" ht="15.75" customHeight="1">
      <c r="D430" s="108"/>
      <c r="E430" s="197"/>
      <c r="F430" s="197"/>
      <c r="G430" s="198"/>
    </row>
    <row r="431" ht="15.75" customHeight="1">
      <c r="D431" s="108"/>
      <c r="E431" s="197"/>
      <c r="F431" s="197"/>
      <c r="G431" s="198"/>
    </row>
    <row r="432" ht="15.75" customHeight="1">
      <c r="D432" s="108"/>
      <c r="E432" s="197"/>
      <c r="F432" s="197"/>
      <c r="G432" s="198"/>
    </row>
    <row r="433" ht="15.75" customHeight="1">
      <c r="D433" s="108"/>
      <c r="E433" s="197"/>
      <c r="F433" s="197"/>
      <c r="G433" s="198"/>
    </row>
    <row r="434" ht="15.75" customHeight="1">
      <c r="D434" s="108"/>
      <c r="E434" s="197"/>
      <c r="F434" s="197"/>
      <c r="G434" s="198"/>
    </row>
    <row r="435" ht="15.75" customHeight="1">
      <c r="D435" s="108"/>
      <c r="E435" s="197"/>
      <c r="F435" s="197"/>
      <c r="G435" s="198"/>
    </row>
    <row r="436" ht="15.75" customHeight="1">
      <c r="D436" s="108"/>
      <c r="E436" s="197"/>
      <c r="F436" s="197"/>
      <c r="G436" s="198"/>
    </row>
    <row r="437" ht="15.75" customHeight="1">
      <c r="D437" s="108"/>
      <c r="E437" s="197"/>
      <c r="F437" s="197"/>
      <c r="G437" s="198"/>
    </row>
    <row r="438" ht="15.75" customHeight="1">
      <c r="D438" s="108"/>
      <c r="E438" s="197"/>
      <c r="F438" s="197"/>
      <c r="G438" s="198"/>
    </row>
    <row r="439" ht="15.75" customHeight="1">
      <c r="D439" s="108"/>
      <c r="E439" s="197"/>
      <c r="F439" s="197"/>
      <c r="G439" s="198"/>
    </row>
    <row r="440" ht="15.75" customHeight="1">
      <c r="D440" s="108"/>
      <c r="E440" s="197"/>
      <c r="F440" s="197"/>
      <c r="G440" s="198"/>
    </row>
    <row r="441" ht="15.75" customHeight="1">
      <c r="D441" s="108"/>
      <c r="E441" s="197"/>
      <c r="F441" s="197"/>
      <c r="G441" s="198"/>
    </row>
    <row r="442" ht="15.75" customHeight="1">
      <c r="D442" s="108"/>
      <c r="E442" s="197"/>
      <c r="F442" s="197"/>
      <c r="G442" s="198"/>
    </row>
    <row r="443" ht="15.75" customHeight="1">
      <c r="D443" s="108"/>
      <c r="E443" s="197"/>
      <c r="F443" s="197"/>
      <c r="G443" s="198"/>
    </row>
    <row r="444" ht="15.75" customHeight="1">
      <c r="D444" s="108"/>
      <c r="E444" s="197"/>
      <c r="F444" s="197"/>
      <c r="G444" s="198"/>
    </row>
    <row r="445" ht="15.75" customHeight="1">
      <c r="D445" s="108"/>
      <c r="E445" s="197"/>
      <c r="F445" s="197"/>
      <c r="G445" s="198"/>
    </row>
    <row r="446" ht="15.75" customHeight="1">
      <c r="D446" s="108"/>
      <c r="E446" s="197"/>
      <c r="F446" s="197"/>
      <c r="G446" s="198"/>
    </row>
    <row r="447" ht="15.75" customHeight="1">
      <c r="D447" s="108"/>
      <c r="E447" s="197"/>
      <c r="F447" s="197"/>
      <c r="G447" s="198"/>
    </row>
    <row r="448" ht="15.75" customHeight="1">
      <c r="D448" s="108"/>
      <c r="E448" s="197"/>
      <c r="F448" s="197"/>
      <c r="G448" s="198"/>
    </row>
    <row r="449" ht="15.75" customHeight="1">
      <c r="D449" s="108"/>
      <c r="E449" s="197"/>
      <c r="F449" s="197"/>
      <c r="G449" s="198"/>
    </row>
    <row r="450" ht="15.75" customHeight="1">
      <c r="D450" s="108"/>
      <c r="E450" s="197"/>
      <c r="F450" s="197"/>
      <c r="G450" s="198"/>
    </row>
    <row r="451" ht="15.75" customHeight="1">
      <c r="D451" s="108"/>
      <c r="E451" s="197"/>
      <c r="F451" s="197"/>
      <c r="G451" s="198"/>
    </row>
    <row r="452" ht="15.75" customHeight="1">
      <c r="D452" s="108"/>
      <c r="E452" s="197"/>
      <c r="F452" s="197"/>
      <c r="G452" s="198"/>
    </row>
    <row r="453" ht="15.75" customHeight="1">
      <c r="D453" s="108"/>
      <c r="E453" s="197"/>
      <c r="F453" s="197"/>
      <c r="G453" s="198"/>
    </row>
    <row r="454" ht="15.75" customHeight="1">
      <c r="D454" s="108"/>
      <c r="E454" s="197"/>
      <c r="F454" s="197"/>
      <c r="G454" s="198"/>
    </row>
    <row r="455" ht="15.75" customHeight="1">
      <c r="D455" s="108"/>
      <c r="E455" s="197"/>
      <c r="F455" s="197"/>
      <c r="G455" s="198"/>
    </row>
    <row r="456" ht="15.75" customHeight="1">
      <c r="D456" s="108"/>
      <c r="E456" s="197"/>
      <c r="F456" s="197"/>
      <c r="G456" s="198"/>
    </row>
    <row r="457" ht="15.75" customHeight="1">
      <c r="D457" s="108"/>
      <c r="E457" s="197"/>
      <c r="F457" s="197"/>
      <c r="G457" s="198"/>
    </row>
    <row r="458" ht="15.75" customHeight="1">
      <c r="D458" s="108"/>
      <c r="E458" s="197"/>
      <c r="F458" s="197"/>
      <c r="G458" s="198"/>
    </row>
    <row r="459" ht="15.75" customHeight="1">
      <c r="D459" s="108"/>
      <c r="E459" s="197"/>
      <c r="F459" s="197"/>
      <c r="G459" s="198"/>
    </row>
    <row r="460" ht="15.75" customHeight="1">
      <c r="D460" s="108"/>
      <c r="E460" s="197"/>
      <c r="F460" s="197"/>
      <c r="G460" s="198"/>
    </row>
    <row r="461" ht="15.75" customHeight="1">
      <c r="D461" s="108"/>
      <c r="E461" s="197"/>
      <c r="F461" s="197"/>
      <c r="G461" s="198"/>
    </row>
    <row r="462" ht="15.75" customHeight="1">
      <c r="D462" s="108"/>
      <c r="E462" s="197"/>
      <c r="F462" s="197"/>
      <c r="G462" s="198"/>
    </row>
    <row r="463" ht="15.75" customHeight="1">
      <c r="D463" s="108"/>
      <c r="E463" s="197"/>
      <c r="F463" s="197"/>
      <c r="G463" s="198"/>
    </row>
    <row r="464" ht="15.75" customHeight="1">
      <c r="D464" s="108"/>
      <c r="E464" s="197"/>
      <c r="F464" s="197"/>
      <c r="G464" s="198"/>
    </row>
    <row r="465" ht="15.75" customHeight="1">
      <c r="D465" s="108"/>
      <c r="E465" s="197"/>
      <c r="F465" s="197"/>
      <c r="G465" s="198"/>
    </row>
    <row r="466" ht="15.75" customHeight="1">
      <c r="D466" s="108"/>
      <c r="E466" s="197"/>
      <c r="F466" s="197"/>
      <c r="G466" s="198"/>
    </row>
    <row r="467" ht="15.75" customHeight="1">
      <c r="D467" s="108"/>
      <c r="E467" s="197"/>
      <c r="F467" s="197"/>
      <c r="G467" s="198"/>
    </row>
    <row r="468" ht="15.75" customHeight="1">
      <c r="D468" s="108"/>
      <c r="E468" s="197"/>
      <c r="F468" s="197"/>
      <c r="G468" s="198"/>
    </row>
    <row r="469" ht="15.75" customHeight="1">
      <c r="D469" s="108"/>
      <c r="E469" s="197"/>
      <c r="F469" s="197"/>
      <c r="G469" s="198"/>
    </row>
    <row r="470" ht="15.75" customHeight="1">
      <c r="D470" s="108"/>
      <c r="E470" s="197"/>
      <c r="F470" s="197"/>
      <c r="G470" s="198"/>
    </row>
    <row r="471" ht="15.75" customHeight="1">
      <c r="D471" s="108"/>
      <c r="E471" s="197"/>
      <c r="F471" s="197"/>
      <c r="G471" s="198"/>
    </row>
    <row r="472" ht="15.75" customHeight="1">
      <c r="D472" s="108"/>
      <c r="E472" s="197"/>
      <c r="F472" s="197"/>
      <c r="G472" s="198"/>
    </row>
    <row r="473" ht="15.75" customHeight="1">
      <c r="D473" s="108"/>
      <c r="E473" s="197"/>
      <c r="F473" s="197"/>
      <c r="G473" s="198"/>
    </row>
    <row r="474" ht="15.75" customHeight="1">
      <c r="D474" s="108"/>
      <c r="E474" s="197"/>
      <c r="F474" s="197"/>
      <c r="G474" s="198"/>
    </row>
    <row r="475" ht="15.75" customHeight="1">
      <c r="D475" s="108"/>
      <c r="E475" s="197"/>
      <c r="F475" s="197"/>
      <c r="G475" s="198"/>
    </row>
    <row r="476" ht="15.75" customHeight="1">
      <c r="D476" s="108"/>
      <c r="E476" s="197"/>
      <c r="F476" s="197"/>
      <c r="G476" s="198"/>
    </row>
    <row r="477" ht="15.75" customHeight="1">
      <c r="D477" s="108"/>
      <c r="E477" s="197"/>
      <c r="F477" s="197"/>
      <c r="G477" s="198"/>
    </row>
    <row r="478" ht="15.75" customHeight="1">
      <c r="D478" s="108"/>
      <c r="E478" s="197"/>
      <c r="F478" s="197"/>
      <c r="G478" s="198"/>
    </row>
    <row r="479" ht="15.75" customHeight="1">
      <c r="D479" s="108"/>
      <c r="E479" s="197"/>
      <c r="F479" s="197"/>
      <c r="G479" s="198"/>
    </row>
    <row r="480" ht="15.75" customHeight="1">
      <c r="D480" s="108"/>
      <c r="E480" s="197"/>
      <c r="F480" s="197"/>
      <c r="G480" s="198"/>
    </row>
    <row r="481" ht="15.75" customHeight="1">
      <c r="D481" s="108"/>
      <c r="E481" s="197"/>
      <c r="F481" s="197"/>
      <c r="G481" s="198"/>
    </row>
    <row r="482" ht="15.75" customHeight="1">
      <c r="D482" s="108"/>
      <c r="E482" s="197"/>
      <c r="F482" s="197"/>
      <c r="G482" s="198"/>
    </row>
    <row r="483" ht="15.75" customHeight="1">
      <c r="D483" s="108"/>
      <c r="E483" s="197"/>
      <c r="F483" s="197"/>
      <c r="G483" s="198"/>
    </row>
    <row r="484" ht="15.75" customHeight="1">
      <c r="D484" s="108"/>
      <c r="E484" s="197"/>
      <c r="F484" s="197"/>
      <c r="G484" s="198"/>
    </row>
    <row r="485" ht="15.75" customHeight="1">
      <c r="D485" s="108"/>
      <c r="E485" s="197"/>
      <c r="F485" s="197"/>
      <c r="G485" s="198"/>
    </row>
    <row r="486" ht="15.75" customHeight="1">
      <c r="D486" s="108"/>
      <c r="E486" s="197"/>
      <c r="F486" s="197"/>
      <c r="G486" s="198"/>
    </row>
    <row r="487" ht="15.75" customHeight="1">
      <c r="D487" s="108"/>
      <c r="E487" s="197"/>
      <c r="F487" s="197"/>
      <c r="G487" s="198"/>
    </row>
    <row r="488" ht="15.75" customHeight="1">
      <c r="D488" s="108"/>
      <c r="E488" s="197"/>
      <c r="F488" s="197"/>
      <c r="G488" s="198"/>
    </row>
    <row r="489" ht="15.75" customHeight="1">
      <c r="D489" s="108"/>
      <c r="E489" s="197"/>
      <c r="F489" s="197"/>
      <c r="G489" s="198"/>
    </row>
    <row r="490" ht="15.75" customHeight="1">
      <c r="D490" s="108"/>
      <c r="E490" s="197"/>
      <c r="F490" s="197"/>
      <c r="G490" s="198"/>
    </row>
    <row r="491" ht="15.75" customHeight="1">
      <c r="D491" s="108"/>
      <c r="E491" s="197"/>
      <c r="F491" s="197"/>
      <c r="G491" s="198"/>
    </row>
    <row r="492" ht="15.75" customHeight="1">
      <c r="D492" s="108"/>
      <c r="E492" s="197"/>
      <c r="F492" s="197"/>
      <c r="G492" s="198"/>
    </row>
    <row r="493" ht="15.75" customHeight="1">
      <c r="D493" s="108"/>
      <c r="E493" s="197"/>
      <c r="F493" s="197"/>
      <c r="G493" s="198"/>
    </row>
    <row r="494" ht="15.75" customHeight="1">
      <c r="D494" s="108"/>
      <c r="E494" s="197"/>
      <c r="F494" s="197"/>
      <c r="G494" s="198"/>
    </row>
    <row r="495" ht="15.75" customHeight="1">
      <c r="D495" s="108"/>
      <c r="E495" s="197"/>
      <c r="F495" s="197"/>
      <c r="G495" s="198"/>
    </row>
    <row r="496" ht="15.75" customHeight="1">
      <c r="D496" s="108"/>
      <c r="E496" s="197"/>
      <c r="F496" s="197"/>
      <c r="G496" s="198"/>
    </row>
    <row r="497" ht="15.75" customHeight="1">
      <c r="D497" s="108"/>
      <c r="E497" s="197"/>
      <c r="F497" s="197"/>
      <c r="G497" s="198"/>
    </row>
    <row r="498" ht="15.75" customHeight="1">
      <c r="D498" s="108"/>
      <c r="E498" s="197"/>
      <c r="F498" s="197"/>
      <c r="G498" s="198"/>
    </row>
    <row r="499" ht="15.75" customHeight="1">
      <c r="D499" s="108"/>
      <c r="E499" s="197"/>
      <c r="F499" s="197"/>
      <c r="G499" s="198"/>
    </row>
    <row r="500" ht="15.75" customHeight="1">
      <c r="D500" s="108"/>
      <c r="E500" s="197"/>
      <c r="F500" s="197"/>
      <c r="G500" s="198"/>
    </row>
    <row r="501" ht="15.75" customHeight="1">
      <c r="D501" s="108"/>
      <c r="E501" s="197"/>
      <c r="F501" s="197"/>
      <c r="G501" s="198"/>
    </row>
    <row r="502" ht="15.75" customHeight="1">
      <c r="D502" s="108"/>
      <c r="E502" s="197"/>
      <c r="F502" s="197"/>
      <c r="G502" s="198"/>
    </row>
    <row r="503" ht="15.75" customHeight="1">
      <c r="D503" s="108"/>
      <c r="E503" s="197"/>
      <c r="F503" s="197"/>
      <c r="G503" s="198"/>
    </row>
    <row r="504" ht="15.75" customHeight="1">
      <c r="D504" s="108"/>
      <c r="E504" s="197"/>
      <c r="F504" s="197"/>
      <c r="G504" s="198"/>
    </row>
    <row r="505" ht="15.75" customHeight="1">
      <c r="D505" s="108"/>
      <c r="E505" s="197"/>
      <c r="F505" s="197"/>
      <c r="G505" s="198"/>
    </row>
    <row r="506" ht="15.75" customHeight="1">
      <c r="D506" s="108"/>
      <c r="E506" s="197"/>
      <c r="F506" s="197"/>
      <c r="G506" s="198"/>
    </row>
    <row r="507" ht="15.75" customHeight="1">
      <c r="D507" s="108"/>
      <c r="E507" s="197"/>
      <c r="F507" s="197"/>
      <c r="G507" s="198"/>
    </row>
    <row r="508" ht="15.75" customHeight="1">
      <c r="D508" s="108"/>
      <c r="E508" s="197"/>
      <c r="F508" s="197"/>
      <c r="G508" s="198"/>
    </row>
    <row r="509" ht="15.75" customHeight="1">
      <c r="D509" s="108"/>
      <c r="E509" s="197"/>
      <c r="F509" s="197"/>
      <c r="G509" s="198"/>
    </row>
    <row r="510" ht="15.75" customHeight="1">
      <c r="D510" s="108"/>
      <c r="E510" s="197"/>
      <c r="F510" s="197"/>
      <c r="G510" s="198"/>
    </row>
    <row r="511" ht="15.75" customHeight="1">
      <c r="D511" s="108"/>
      <c r="E511" s="197"/>
      <c r="F511" s="197"/>
      <c r="G511" s="198"/>
    </row>
    <row r="512" ht="15.75" customHeight="1">
      <c r="D512" s="108"/>
      <c r="E512" s="197"/>
      <c r="F512" s="197"/>
      <c r="G512" s="198"/>
    </row>
    <row r="513" ht="15.75" customHeight="1">
      <c r="D513" s="108"/>
      <c r="E513" s="197"/>
      <c r="F513" s="197"/>
      <c r="G513" s="198"/>
    </row>
    <row r="514" ht="15.75" customHeight="1">
      <c r="D514" s="108"/>
      <c r="E514" s="197"/>
      <c r="F514" s="197"/>
      <c r="G514" s="198"/>
    </row>
    <row r="515" ht="15.75" customHeight="1">
      <c r="D515" s="108"/>
      <c r="E515" s="197"/>
      <c r="F515" s="197"/>
      <c r="G515" s="198"/>
    </row>
    <row r="516" ht="15.75" customHeight="1">
      <c r="D516" s="108"/>
      <c r="E516" s="197"/>
      <c r="F516" s="197"/>
      <c r="G516" s="198"/>
    </row>
    <row r="517" ht="15.75" customHeight="1">
      <c r="D517" s="108"/>
      <c r="E517" s="197"/>
      <c r="F517" s="197"/>
      <c r="G517" s="198"/>
    </row>
    <row r="518" ht="15.75" customHeight="1">
      <c r="D518" s="108"/>
      <c r="E518" s="197"/>
      <c r="F518" s="197"/>
      <c r="G518" s="198"/>
    </row>
    <row r="519" ht="15.75" customHeight="1">
      <c r="D519" s="108"/>
      <c r="E519" s="197"/>
      <c r="F519" s="197"/>
      <c r="G519" s="198"/>
    </row>
    <row r="520" ht="15.75" customHeight="1">
      <c r="D520" s="108"/>
      <c r="E520" s="197"/>
      <c r="F520" s="197"/>
      <c r="G520" s="198"/>
    </row>
    <row r="521" ht="15.75" customHeight="1">
      <c r="D521" s="108"/>
      <c r="E521" s="197"/>
      <c r="F521" s="197"/>
      <c r="G521" s="198"/>
    </row>
    <row r="522" ht="15.75" customHeight="1">
      <c r="D522" s="108"/>
      <c r="E522" s="197"/>
      <c r="F522" s="197"/>
      <c r="G522" s="198"/>
    </row>
    <row r="523" ht="15.75" customHeight="1">
      <c r="D523" s="108"/>
      <c r="E523" s="197"/>
      <c r="F523" s="197"/>
      <c r="G523" s="198"/>
    </row>
    <row r="524" ht="15.75" customHeight="1">
      <c r="D524" s="108"/>
      <c r="E524" s="197"/>
      <c r="F524" s="197"/>
      <c r="G524" s="198"/>
    </row>
    <row r="525" ht="15.75" customHeight="1">
      <c r="D525" s="108"/>
      <c r="E525" s="197"/>
      <c r="F525" s="197"/>
      <c r="G525" s="198"/>
    </row>
    <row r="526" ht="15.75" customHeight="1">
      <c r="D526" s="108"/>
      <c r="E526" s="197"/>
      <c r="F526" s="197"/>
      <c r="G526" s="198"/>
    </row>
    <row r="527" ht="15.75" customHeight="1">
      <c r="D527" s="108"/>
      <c r="E527" s="197"/>
      <c r="F527" s="197"/>
      <c r="G527" s="198"/>
    </row>
    <row r="528" ht="15.75" customHeight="1">
      <c r="D528" s="108"/>
      <c r="E528" s="197"/>
      <c r="F528" s="197"/>
      <c r="G528" s="198"/>
    </row>
    <row r="529" ht="15.75" customHeight="1">
      <c r="D529" s="108"/>
      <c r="E529" s="197"/>
      <c r="F529" s="197"/>
      <c r="G529" s="198"/>
    </row>
    <row r="530" ht="15.75" customHeight="1">
      <c r="D530" s="108"/>
      <c r="E530" s="197"/>
      <c r="F530" s="197"/>
      <c r="G530" s="198"/>
    </row>
    <row r="531" ht="15.75" customHeight="1">
      <c r="D531" s="108"/>
      <c r="E531" s="197"/>
      <c r="F531" s="197"/>
      <c r="G531" s="198"/>
    </row>
    <row r="532" ht="15.75" customHeight="1">
      <c r="D532" s="108"/>
      <c r="E532" s="197"/>
      <c r="F532" s="197"/>
      <c r="G532" s="198"/>
    </row>
    <row r="533" ht="15.75" customHeight="1">
      <c r="D533" s="108"/>
      <c r="E533" s="197"/>
      <c r="F533" s="197"/>
      <c r="G533" s="198"/>
    </row>
    <row r="534" ht="15.75" customHeight="1">
      <c r="D534" s="108"/>
      <c r="E534" s="197"/>
      <c r="F534" s="197"/>
      <c r="G534" s="198"/>
    </row>
    <row r="535" ht="15.75" customHeight="1">
      <c r="D535" s="108"/>
      <c r="E535" s="197"/>
      <c r="F535" s="197"/>
      <c r="G535" s="198"/>
    </row>
    <row r="536" ht="15.75" customHeight="1">
      <c r="D536" s="108"/>
      <c r="E536" s="197"/>
      <c r="F536" s="197"/>
      <c r="G536" s="198"/>
    </row>
    <row r="537" ht="15.75" customHeight="1">
      <c r="D537" s="108"/>
      <c r="E537" s="197"/>
      <c r="F537" s="197"/>
      <c r="G537" s="198"/>
    </row>
    <row r="538" ht="15.75" customHeight="1">
      <c r="D538" s="108"/>
      <c r="E538" s="197"/>
      <c r="F538" s="197"/>
      <c r="G538" s="198"/>
    </row>
    <row r="539" ht="15.75" customHeight="1">
      <c r="D539" s="108"/>
      <c r="E539" s="197"/>
      <c r="F539" s="197"/>
      <c r="G539" s="198"/>
    </row>
    <row r="540" ht="15.75" customHeight="1">
      <c r="D540" s="108"/>
      <c r="E540" s="197"/>
      <c r="F540" s="197"/>
      <c r="G540" s="198"/>
    </row>
    <row r="541" ht="15.75" customHeight="1">
      <c r="D541" s="108"/>
      <c r="E541" s="197"/>
      <c r="F541" s="197"/>
      <c r="G541" s="198"/>
    </row>
    <row r="542" ht="15.75" customHeight="1">
      <c r="D542" s="108"/>
      <c r="E542" s="197"/>
      <c r="F542" s="197"/>
      <c r="G542" s="198"/>
    </row>
    <row r="543" ht="15.75" customHeight="1">
      <c r="D543" s="108"/>
      <c r="E543" s="197"/>
      <c r="F543" s="197"/>
      <c r="G543" s="198"/>
    </row>
    <row r="544" ht="15.75" customHeight="1">
      <c r="D544" s="108"/>
      <c r="E544" s="197"/>
      <c r="F544" s="197"/>
      <c r="G544" s="198"/>
    </row>
    <row r="545" ht="15.75" customHeight="1">
      <c r="D545" s="108"/>
      <c r="E545" s="197"/>
      <c r="F545" s="197"/>
      <c r="G545" s="198"/>
    </row>
    <row r="546" ht="15.75" customHeight="1">
      <c r="D546" s="108"/>
      <c r="E546" s="197"/>
      <c r="F546" s="197"/>
      <c r="G546" s="198"/>
    </row>
    <row r="547" ht="15.75" customHeight="1">
      <c r="D547" s="108"/>
      <c r="E547" s="197"/>
      <c r="F547" s="197"/>
      <c r="G547" s="198"/>
    </row>
    <row r="548" ht="15.75" customHeight="1">
      <c r="D548" s="108"/>
      <c r="E548" s="197"/>
      <c r="F548" s="197"/>
      <c r="G548" s="198"/>
    </row>
    <row r="549" ht="15.75" customHeight="1">
      <c r="D549" s="108"/>
      <c r="E549" s="197"/>
      <c r="F549" s="197"/>
      <c r="G549" s="198"/>
    </row>
    <row r="550" ht="15.75" customHeight="1">
      <c r="D550" s="108"/>
      <c r="E550" s="197"/>
      <c r="F550" s="197"/>
      <c r="G550" s="198"/>
    </row>
    <row r="551" ht="15.75" customHeight="1">
      <c r="D551" s="108"/>
      <c r="E551" s="197"/>
      <c r="F551" s="197"/>
      <c r="G551" s="198"/>
    </row>
    <row r="552" ht="15.75" customHeight="1">
      <c r="D552" s="108"/>
      <c r="E552" s="197"/>
      <c r="F552" s="197"/>
      <c r="G552" s="198"/>
    </row>
    <row r="553" ht="15.75" customHeight="1">
      <c r="D553" s="108"/>
      <c r="E553" s="197"/>
      <c r="F553" s="197"/>
      <c r="G553" s="198"/>
    </row>
    <row r="554" ht="15.75" customHeight="1">
      <c r="D554" s="108"/>
      <c r="E554" s="197"/>
      <c r="F554" s="197"/>
      <c r="G554" s="198"/>
    </row>
    <row r="555" ht="15.75" customHeight="1">
      <c r="D555" s="108"/>
      <c r="E555" s="197"/>
      <c r="F555" s="197"/>
      <c r="G555" s="198"/>
    </row>
    <row r="556" ht="15.75" customHeight="1">
      <c r="D556" s="108"/>
      <c r="E556" s="197"/>
      <c r="F556" s="197"/>
      <c r="G556" s="198"/>
    </row>
    <row r="557" ht="15.75" customHeight="1">
      <c r="D557" s="108"/>
      <c r="E557" s="197"/>
      <c r="F557" s="197"/>
      <c r="G557" s="198"/>
    </row>
    <row r="558" ht="15.75" customHeight="1">
      <c r="D558" s="108"/>
      <c r="E558" s="197"/>
      <c r="F558" s="197"/>
      <c r="G558" s="198"/>
    </row>
    <row r="559" ht="15.75" customHeight="1">
      <c r="D559" s="108"/>
      <c r="E559" s="197"/>
      <c r="F559" s="197"/>
      <c r="G559" s="198"/>
    </row>
    <row r="560" ht="15.75" customHeight="1">
      <c r="D560" s="108"/>
      <c r="E560" s="197"/>
      <c r="F560" s="197"/>
      <c r="G560" s="198"/>
    </row>
    <row r="561" ht="15.75" customHeight="1">
      <c r="D561" s="108"/>
      <c r="E561" s="197"/>
      <c r="F561" s="197"/>
      <c r="G561" s="198"/>
    </row>
    <row r="562" ht="15.75" customHeight="1">
      <c r="D562" s="108"/>
      <c r="E562" s="197"/>
      <c r="F562" s="197"/>
      <c r="G562" s="198"/>
    </row>
    <row r="563" ht="15.75" customHeight="1">
      <c r="D563" s="108"/>
      <c r="E563" s="197"/>
      <c r="F563" s="197"/>
      <c r="G563" s="198"/>
    </row>
    <row r="564" ht="15.75" customHeight="1">
      <c r="D564" s="108"/>
      <c r="E564" s="197"/>
      <c r="F564" s="197"/>
      <c r="G564" s="198"/>
    </row>
    <row r="565" ht="15.75" customHeight="1">
      <c r="D565" s="108"/>
      <c r="E565" s="197"/>
      <c r="F565" s="197"/>
      <c r="G565" s="198"/>
    </row>
    <row r="566" ht="15.75" customHeight="1">
      <c r="D566" s="108"/>
      <c r="E566" s="197"/>
      <c r="F566" s="197"/>
      <c r="G566" s="198"/>
    </row>
    <row r="567" ht="15.75" customHeight="1">
      <c r="D567" s="108"/>
      <c r="E567" s="197"/>
      <c r="F567" s="197"/>
      <c r="G567" s="198"/>
    </row>
    <row r="568" ht="15.75" customHeight="1">
      <c r="D568" s="108"/>
      <c r="E568" s="197"/>
      <c r="F568" s="197"/>
      <c r="G568" s="198"/>
    </row>
    <row r="569" ht="15.75" customHeight="1">
      <c r="D569" s="108"/>
      <c r="E569" s="197"/>
      <c r="F569" s="197"/>
      <c r="G569" s="198"/>
    </row>
    <row r="570" ht="15.75" customHeight="1">
      <c r="D570" s="108"/>
      <c r="E570" s="197"/>
      <c r="F570" s="197"/>
      <c r="G570" s="198"/>
    </row>
    <row r="571" ht="15.75" customHeight="1">
      <c r="D571" s="108"/>
      <c r="E571" s="197"/>
      <c r="F571" s="197"/>
      <c r="G571" s="198"/>
    </row>
    <row r="572" ht="15.75" customHeight="1">
      <c r="D572" s="108"/>
      <c r="E572" s="197"/>
      <c r="F572" s="197"/>
      <c r="G572" s="198"/>
    </row>
    <row r="573" ht="15.75" customHeight="1">
      <c r="D573" s="108"/>
      <c r="E573" s="197"/>
      <c r="F573" s="197"/>
      <c r="G573" s="198"/>
    </row>
    <row r="574" ht="15.75" customHeight="1">
      <c r="D574" s="108"/>
      <c r="E574" s="197"/>
      <c r="F574" s="197"/>
      <c r="G574" s="198"/>
    </row>
    <row r="575" ht="15.75" customHeight="1">
      <c r="D575" s="108"/>
      <c r="E575" s="197"/>
      <c r="F575" s="197"/>
      <c r="G575" s="198"/>
    </row>
    <row r="576" ht="15.75" customHeight="1">
      <c r="D576" s="108"/>
      <c r="E576" s="197"/>
      <c r="F576" s="197"/>
      <c r="G576" s="198"/>
    </row>
    <row r="577" ht="15.75" customHeight="1">
      <c r="D577" s="108"/>
      <c r="E577" s="197"/>
      <c r="F577" s="197"/>
      <c r="G577" s="198"/>
    </row>
    <row r="578" ht="15.75" customHeight="1">
      <c r="D578" s="108"/>
      <c r="E578" s="197"/>
      <c r="F578" s="197"/>
      <c r="G578" s="198"/>
    </row>
    <row r="579" ht="15.75" customHeight="1">
      <c r="D579" s="108"/>
      <c r="E579" s="197"/>
      <c r="F579" s="197"/>
      <c r="G579" s="198"/>
    </row>
    <row r="580" ht="15.75" customHeight="1">
      <c r="D580" s="108"/>
      <c r="E580" s="197"/>
      <c r="F580" s="197"/>
      <c r="G580" s="198"/>
    </row>
    <row r="581" ht="15.75" customHeight="1">
      <c r="D581" s="108"/>
      <c r="E581" s="197"/>
      <c r="F581" s="197"/>
      <c r="G581" s="198"/>
    </row>
    <row r="582" ht="15.75" customHeight="1">
      <c r="D582" s="108"/>
      <c r="E582" s="197"/>
      <c r="F582" s="197"/>
      <c r="G582" s="198"/>
    </row>
    <row r="583" ht="15.75" customHeight="1">
      <c r="D583" s="108"/>
      <c r="E583" s="197"/>
      <c r="F583" s="197"/>
      <c r="G583" s="198"/>
    </row>
    <row r="584" ht="15.75" customHeight="1">
      <c r="D584" s="108"/>
      <c r="E584" s="197"/>
      <c r="F584" s="197"/>
      <c r="G584" s="198"/>
    </row>
    <row r="585" ht="15.75" customHeight="1">
      <c r="D585" s="108"/>
      <c r="E585" s="197"/>
      <c r="F585" s="197"/>
      <c r="G585" s="198"/>
    </row>
    <row r="586" ht="15.75" customHeight="1">
      <c r="D586" s="108"/>
      <c r="E586" s="197"/>
      <c r="F586" s="197"/>
      <c r="G586" s="198"/>
    </row>
    <row r="587" ht="15.75" customHeight="1">
      <c r="D587" s="108"/>
      <c r="E587" s="197"/>
      <c r="F587" s="197"/>
      <c r="G587" s="198"/>
    </row>
    <row r="588" ht="15.75" customHeight="1">
      <c r="D588" s="108"/>
      <c r="E588" s="197"/>
      <c r="F588" s="197"/>
      <c r="G588" s="198"/>
    </row>
    <row r="589" ht="15.75" customHeight="1">
      <c r="D589" s="108"/>
      <c r="E589" s="197"/>
      <c r="F589" s="197"/>
      <c r="G589" s="198"/>
    </row>
    <row r="590" ht="15.75" customHeight="1">
      <c r="D590" s="108"/>
      <c r="E590" s="197"/>
      <c r="F590" s="197"/>
      <c r="G590" s="198"/>
    </row>
    <row r="591" ht="15.75" customHeight="1">
      <c r="D591" s="108"/>
      <c r="E591" s="197"/>
      <c r="F591" s="197"/>
      <c r="G591" s="198"/>
    </row>
    <row r="592" ht="15.75" customHeight="1">
      <c r="D592" s="108"/>
      <c r="E592" s="197"/>
      <c r="F592" s="197"/>
      <c r="G592" s="198"/>
    </row>
    <row r="593" ht="15.75" customHeight="1">
      <c r="D593" s="108"/>
      <c r="E593" s="197"/>
      <c r="F593" s="197"/>
      <c r="G593" s="198"/>
    </row>
    <row r="594" ht="15.75" customHeight="1">
      <c r="D594" s="108"/>
      <c r="E594" s="197"/>
      <c r="F594" s="197"/>
      <c r="G594" s="198"/>
    </row>
    <row r="595" ht="15.75" customHeight="1">
      <c r="D595" s="108"/>
      <c r="E595" s="197"/>
      <c r="F595" s="197"/>
      <c r="G595" s="198"/>
    </row>
    <row r="596" ht="15.75" customHeight="1">
      <c r="D596" s="108"/>
      <c r="E596" s="197"/>
      <c r="F596" s="197"/>
      <c r="G596" s="198"/>
    </row>
    <row r="597" ht="15.75" customHeight="1">
      <c r="D597" s="108"/>
      <c r="E597" s="197"/>
      <c r="F597" s="197"/>
      <c r="G597" s="198"/>
    </row>
    <row r="598" ht="15.75" customHeight="1">
      <c r="D598" s="108"/>
      <c r="E598" s="197"/>
      <c r="F598" s="197"/>
      <c r="G598" s="198"/>
    </row>
    <row r="599" ht="15.75" customHeight="1">
      <c r="D599" s="108"/>
      <c r="E599" s="197"/>
      <c r="F599" s="197"/>
      <c r="G599" s="198"/>
    </row>
    <row r="600" ht="15.75" customHeight="1">
      <c r="D600" s="108"/>
      <c r="E600" s="197"/>
      <c r="F600" s="197"/>
      <c r="G600" s="198"/>
    </row>
    <row r="601" ht="15.75" customHeight="1">
      <c r="D601" s="108"/>
      <c r="E601" s="197"/>
      <c r="F601" s="197"/>
      <c r="G601" s="198"/>
    </row>
    <row r="602" ht="15.75" customHeight="1">
      <c r="D602" s="108"/>
      <c r="E602" s="197"/>
      <c r="F602" s="197"/>
      <c r="G602" s="198"/>
    </row>
    <row r="603" ht="15.75" customHeight="1">
      <c r="D603" s="108"/>
      <c r="E603" s="197"/>
      <c r="F603" s="197"/>
      <c r="G603" s="198"/>
    </row>
    <row r="604" ht="15.75" customHeight="1">
      <c r="D604" s="108"/>
      <c r="E604" s="197"/>
      <c r="F604" s="197"/>
      <c r="G604" s="198"/>
    </row>
    <row r="605" ht="15.75" customHeight="1">
      <c r="D605" s="108"/>
      <c r="E605" s="197"/>
      <c r="F605" s="197"/>
      <c r="G605" s="198"/>
    </row>
    <row r="606" ht="15.75" customHeight="1">
      <c r="D606" s="108"/>
      <c r="E606" s="197"/>
      <c r="F606" s="197"/>
      <c r="G606" s="198"/>
    </row>
    <row r="607" ht="15.75" customHeight="1">
      <c r="D607" s="108"/>
      <c r="E607" s="197"/>
      <c r="F607" s="197"/>
      <c r="G607" s="198"/>
    </row>
    <row r="608" ht="15.75" customHeight="1">
      <c r="D608" s="108"/>
      <c r="E608" s="197"/>
      <c r="F608" s="197"/>
      <c r="G608" s="198"/>
    </row>
    <row r="609" ht="15.75" customHeight="1">
      <c r="D609" s="108"/>
      <c r="E609" s="197"/>
      <c r="F609" s="197"/>
      <c r="G609" s="198"/>
    </row>
    <row r="610" ht="15.75" customHeight="1">
      <c r="D610" s="108"/>
      <c r="E610" s="197"/>
      <c r="F610" s="197"/>
      <c r="G610" s="198"/>
    </row>
    <row r="611" ht="15.75" customHeight="1">
      <c r="D611" s="108"/>
      <c r="E611" s="197"/>
      <c r="F611" s="197"/>
      <c r="G611" s="198"/>
    </row>
    <row r="612" ht="15.75" customHeight="1">
      <c r="D612" s="108"/>
      <c r="E612" s="197"/>
      <c r="F612" s="197"/>
      <c r="G612" s="198"/>
    </row>
    <row r="613" ht="15.75" customHeight="1">
      <c r="D613" s="108"/>
      <c r="E613" s="197"/>
      <c r="F613" s="197"/>
      <c r="G613" s="198"/>
    </row>
    <row r="614" ht="15.75" customHeight="1">
      <c r="D614" s="108"/>
      <c r="E614" s="197"/>
      <c r="F614" s="197"/>
      <c r="G614" s="198"/>
    </row>
    <row r="615" ht="15.75" customHeight="1">
      <c r="D615" s="108"/>
      <c r="E615" s="197"/>
      <c r="F615" s="197"/>
      <c r="G615" s="198"/>
    </row>
    <row r="616" ht="15.75" customHeight="1">
      <c r="D616" s="108"/>
      <c r="E616" s="197"/>
      <c r="F616" s="197"/>
      <c r="G616" s="198"/>
    </row>
    <row r="617" ht="15.75" customHeight="1">
      <c r="D617" s="108"/>
      <c r="E617" s="197"/>
      <c r="F617" s="197"/>
      <c r="G617" s="198"/>
    </row>
    <row r="618" ht="15.75" customHeight="1">
      <c r="D618" s="108"/>
      <c r="E618" s="197"/>
      <c r="F618" s="197"/>
      <c r="G618" s="198"/>
    </row>
    <row r="619" ht="15.75" customHeight="1">
      <c r="D619" s="108"/>
      <c r="E619" s="197"/>
      <c r="F619" s="197"/>
      <c r="G619" s="198"/>
    </row>
    <row r="620" ht="15.75" customHeight="1">
      <c r="D620" s="108"/>
      <c r="E620" s="197"/>
      <c r="F620" s="197"/>
      <c r="G620" s="198"/>
    </row>
    <row r="621" ht="15.75" customHeight="1">
      <c r="D621" s="108"/>
      <c r="E621" s="197"/>
      <c r="F621" s="197"/>
      <c r="G621" s="198"/>
    </row>
    <row r="622" ht="15.75" customHeight="1">
      <c r="D622" s="108"/>
      <c r="E622" s="197"/>
      <c r="F622" s="197"/>
      <c r="G622" s="198"/>
    </row>
    <row r="623" ht="15.75" customHeight="1">
      <c r="D623" s="108"/>
      <c r="E623" s="197"/>
      <c r="F623" s="197"/>
      <c r="G623" s="198"/>
    </row>
    <row r="624" ht="15.75" customHeight="1">
      <c r="D624" s="108"/>
      <c r="E624" s="197"/>
      <c r="F624" s="197"/>
      <c r="G624" s="198"/>
    </row>
    <row r="625" ht="15.75" customHeight="1">
      <c r="D625" s="108"/>
      <c r="E625" s="197"/>
      <c r="F625" s="197"/>
      <c r="G625" s="198"/>
    </row>
    <row r="626" ht="15.75" customHeight="1">
      <c r="D626" s="108"/>
      <c r="E626" s="197"/>
      <c r="F626" s="197"/>
      <c r="G626" s="198"/>
    </row>
    <row r="627" ht="15.75" customHeight="1">
      <c r="D627" s="108"/>
      <c r="E627" s="197"/>
      <c r="F627" s="197"/>
      <c r="G627" s="198"/>
    </row>
    <row r="628" ht="15.75" customHeight="1">
      <c r="D628" s="108"/>
      <c r="E628" s="197"/>
      <c r="F628" s="197"/>
      <c r="G628" s="198"/>
    </row>
    <row r="629" ht="15.75" customHeight="1">
      <c r="D629" s="108"/>
      <c r="E629" s="197"/>
      <c r="F629" s="197"/>
      <c r="G629" s="198"/>
    </row>
    <row r="630" ht="15.75" customHeight="1">
      <c r="D630" s="108"/>
      <c r="E630" s="197"/>
      <c r="F630" s="197"/>
      <c r="G630" s="198"/>
    </row>
    <row r="631" ht="15.75" customHeight="1">
      <c r="D631" s="108"/>
      <c r="E631" s="197"/>
      <c r="F631" s="197"/>
      <c r="G631" s="198"/>
    </row>
    <row r="632" ht="15.75" customHeight="1">
      <c r="D632" s="108"/>
      <c r="E632" s="197"/>
      <c r="F632" s="197"/>
      <c r="G632" s="198"/>
    </row>
    <row r="633" ht="15.75" customHeight="1">
      <c r="D633" s="108"/>
      <c r="E633" s="197"/>
      <c r="F633" s="197"/>
      <c r="G633" s="198"/>
    </row>
    <row r="634" ht="15.75" customHeight="1">
      <c r="D634" s="108"/>
      <c r="E634" s="197"/>
      <c r="F634" s="197"/>
      <c r="G634" s="198"/>
    </row>
    <row r="635" ht="15.75" customHeight="1">
      <c r="D635" s="108"/>
      <c r="E635" s="197"/>
      <c r="F635" s="197"/>
      <c r="G635" s="198"/>
    </row>
    <row r="636" ht="15.75" customHeight="1">
      <c r="D636" s="108"/>
      <c r="E636" s="197"/>
      <c r="F636" s="197"/>
      <c r="G636" s="198"/>
    </row>
    <row r="637" ht="15.75" customHeight="1">
      <c r="D637" s="108"/>
      <c r="E637" s="197"/>
      <c r="F637" s="197"/>
      <c r="G637" s="198"/>
    </row>
    <row r="638" ht="15.75" customHeight="1">
      <c r="D638" s="108"/>
      <c r="E638" s="197"/>
      <c r="F638" s="197"/>
      <c r="G638" s="198"/>
    </row>
    <row r="639" ht="15.75" customHeight="1">
      <c r="D639" s="108"/>
      <c r="E639" s="197"/>
      <c r="F639" s="197"/>
      <c r="G639" s="198"/>
    </row>
    <row r="640" ht="15.75" customHeight="1">
      <c r="D640" s="108"/>
      <c r="E640" s="197"/>
      <c r="F640" s="197"/>
      <c r="G640" s="198"/>
    </row>
    <row r="641" ht="15.75" customHeight="1">
      <c r="D641" s="108"/>
      <c r="E641" s="197"/>
      <c r="F641" s="197"/>
      <c r="G641" s="198"/>
    </row>
    <row r="642" ht="15.75" customHeight="1">
      <c r="D642" s="108"/>
      <c r="E642" s="197"/>
      <c r="F642" s="197"/>
      <c r="G642" s="198"/>
    </row>
    <row r="643" ht="15.75" customHeight="1">
      <c r="D643" s="108"/>
      <c r="E643" s="197"/>
      <c r="F643" s="197"/>
      <c r="G643" s="198"/>
    </row>
    <row r="644" ht="15.75" customHeight="1">
      <c r="D644" s="108"/>
      <c r="E644" s="197"/>
      <c r="F644" s="197"/>
      <c r="G644" s="198"/>
    </row>
    <row r="645" ht="15.75" customHeight="1">
      <c r="D645" s="108"/>
      <c r="E645" s="197"/>
      <c r="F645" s="197"/>
      <c r="G645" s="198"/>
    </row>
    <row r="646" ht="15.75" customHeight="1">
      <c r="D646" s="108"/>
      <c r="E646" s="197"/>
      <c r="F646" s="197"/>
      <c r="G646" s="198"/>
    </row>
    <row r="647" ht="15.75" customHeight="1">
      <c r="D647" s="108"/>
      <c r="E647" s="197"/>
      <c r="F647" s="197"/>
      <c r="G647" s="198"/>
    </row>
    <row r="648" ht="15.75" customHeight="1">
      <c r="D648" s="108"/>
      <c r="E648" s="197"/>
      <c r="F648" s="197"/>
      <c r="G648" s="198"/>
    </row>
    <row r="649" ht="15.75" customHeight="1">
      <c r="D649" s="108"/>
      <c r="E649" s="197"/>
      <c r="F649" s="197"/>
      <c r="G649" s="198"/>
    </row>
    <row r="650" ht="15.75" customHeight="1">
      <c r="D650" s="108"/>
      <c r="E650" s="197"/>
      <c r="F650" s="197"/>
      <c r="G650" s="198"/>
    </row>
    <row r="651" ht="15.75" customHeight="1">
      <c r="D651" s="108"/>
      <c r="E651" s="197"/>
      <c r="F651" s="197"/>
      <c r="G651" s="198"/>
    </row>
    <row r="652" ht="15.75" customHeight="1">
      <c r="D652" s="108"/>
      <c r="E652" s="197"/>
      <c r="F652" s="197"/>
      <c r="G652" s="198"/>
    </row>
    <row r="653" ht="15.75" customHeight="1">
      <c r="D653" s="108"/>
      <c r="E653" s="197"/>
      <c r="F653" s="197"/>
      <c r="G653" s="198"/>
    </row>
    <row r="654" ht="15.75" customHeight="1">
      <c r="D654" s="108"/>
      <c r="E654" s="197"/>
      <c r="F654" s="197"/>
      <c r="G654" s="198"/>
    </row>
    <row r="655" ht="15.75" customHeight="1">
      <c r="D655" s="108"/>
      <c r="E655" s="197"/>
      <c r="F655" s="197"/>
      <c r="G655" s="198"/>
    </row>
    <row r="656" ht="15.75" customHeight="1">
      <c r="D656" s="108"/>
      <c r="E656" s="197"/>
      <c r="F656" s="197"/>
      <c r="G656" s="198"/>
    </row>
    <row r="657" ht="15.75" customHeight="1">
      <c r="D657" s="108"/>
      <c r="E657" s="197"/>
      <c r="F657" s="197"/>
      <c r="G657" s="198"/>
    </row>
    <row r="658" ht="15.75" customHeight="1">
      <c r="D658" s="108"/>
      <c r="E658" s="197"/>
      <c r="F658" s="197"/>
      <c r="G658" s="198"/>
    </row>
    <row r="659" ht="15.75" customHeight="1">
      <c r="D659" s="108"/>
      <c r="E659" s="197"/>
      <c r="F659" s="197"/>
      <c r="G659" s="198"/>
    </row>
    <row r="660" ht="15.75" customHeight="1">
      <c r="D660" s="108"/>
      <c r="E660" s="197"/>
      <c r="F660" s="197"/>
      <c r="G660" s="198"/>
    </row>
    <row r="661" ht="15.75" customHeight="1">
      <c r="D661" s="108"/>
      <c r="E661" s="197"/>
      <c r="F661" s="197"/>
      <c r="G661" s="198"/>
    </row>
    <row r="662" ht="15.75" customHeight="1">
      <c r="D662" s="108"/>
      <c r="E662" s="197"/>
      <c r="F662" s="197"/>
      <c r="G662" s="198"/>
    </row>
    <row r="663" ht="15.75" customHeight="1">
      <c r="D663" s="108"/>
      <c r="E663" s="197"/>
      <c r="F663" s="197"/>
      <c r="G663" s="198"/>
    </row>
    <row r="664" ht="15.75" customHeight="1">
      <c r="D664" s="108"/>
      <c r="E664" s="197"/>
      <c r="F664" s="197"/>
      <c r="G664" s="198"/>
    </row>
    <row r="665" ht="15.75" customHeight="1">
      <c r="D665" s="108"/>
      <c r="E665" s="197"/>
      <c r="F665" s="197"/>
      <c r="G665" s="198"/>
    </row>
    <row r="666" ht="15.75" customHeight="1">
      <c r="D666" s="108"/>
      <c r="E666" s="197"/>
      <c r="F666" s="197"/>
      <c r="G666" s="198"/>
    </row>
    <row r="667" ht="15.75" customHeight="1">
      <c r="D667" s="108"/>
      <c r="E667" s="197"/>
      <c r="F667" s="197"/>
      <c r="G667" s="198"/>
    </row>
    <row r="668" ht="15.75" customHeight="1">
      <c r="D668" s="108"/>
      <c r="E668" s="197"/>
      <c r="F668" s="197"/>
      <c r="G668" s="198"/>
    </row>
    <row r="669" ht="15.75" customHeight="1">
      <c r="D669" s="108"/>
      <c r="E669" s="197"/>
      <c r="F669" s="197"/>
      <c r="G669" s="198"/>
    </row>
    <row r="670" ht="15.75" customHeight="1">
      <c r="D670" s="108"/>
      <c r="E670" s="197"/>
      <c r="F670" s="197"/>
      <c r="G670" s="198"/>
    </row>
    <row r="671" ht="15.75" customHeight="1">
      <c r="D671" s="108"/>
      <c r="E671" s="197"/>
      <c r="F671" s="197"/>
      <c r="G671" s="198"/>
    </row>
    <row r="672" ht="15.75" customHeight="1">
      <c r="D672" s="108"/>
      <c r="E672" s="197"/>
      <c r="F672" s="197"/>
      <c r="G672" s="198"/>
    </row>
    <row r="673" ht="15.75" customHeight="1">
      <c r="D673" s="108"/>
      <c r="E673" s="197"/>
      <c r="F673" s="197"/>
      <c r="G673" s="198"/>
    </row>
    <row r="674" ht="15.75" customHeight="1">
      <c r="D674" s="108"/>
      <c r="E674" s="197"/>
      <c r="F674" s="197"/>
      <c r="G674" s="198"/>
    </row>
    <row r="675" ht="15.75" customHeight="1">
      <c r="D675" s="108"/>
      <c r="E675" s="197"/>
      <c r="F675" s="197"/>
      <c r="G675" s="198"/>
    </row>
    <row r="676" ht="15.75" customHeight="1">
      <c r="D676" s="108"/>
      <c r="E676" s="197"/>
      <c r="F676" s="197"/>
      <c r="G676" s="198"/>
    </row>
    <row r="677" ht="15.75" customHeight="1">
      <c r="D677" s="108"/>
      <c r="E677" s="197"/>
      <c r="F677" s="197"/>
      <c r="G677" s="198"/>
    </row>
    <row r="678" ht="15.75" customHeight="1">
      <c r="D678" s="108"/>
      <c r="E678" s="197"/>
      <c r="F678" s="197"/>
      <c r="G678" s="198"/>
    </row>
    <row r="679" ht="15.75" customHeight="1">
      <c r="D679" s="108"/>
      <c r="E679" s="197"/>
      <c r="F679" s="197"/>
      <c r="G679" s="198"/>
    </row>
    <row r="680" ht="15.75" customHeight="1">
      <c r="D680" s="108"/>
      <c r="E680" s="197"/>
      <c r="F680" s="197"/>
      <c r="G680" s="198"/>
    </row>
    <row r="681" ht="15.75" customHeight="1">
      <c r="D681" s="108"/>
      <c r="E681" s="197"/>
      <c r="F681" s="197"/>
      <c r="G681" s="198"/>
    </row>
    <row r="682" ht="15.75" customHeight="1">
      <c r="D682" s="108"/>
      <c r="E682" s="197"/>
      <c r="F682" s="197"/>
      <c r="G682" s="198"/>
    </row>
    <row r="683" ht="15.75" customHeight="1">
      <c r="D683" s="108"/>
      <c r="E683" s="197"/>
      <c r="F683" s="197"/>
      <c r="G683" s="198"/>
    </row>
    <row r="684" ht="15.75" customHeight="1">
      <c r="D684" s="108"/>
      <c r="E684" s="197"/>
      <c r="F684" s="197"/>
      <c r="G684" s="198"/>
    </row>
    <row r="685" ht="15.75" customHeight="1">
      <c r="D685" s="108"/>
      <c r="E685" s="197"/>
      <c r="F685" s="197"/>
      <c r="G685" s="198"/>
    </row>
    <row r="686" ht="15.75" customHeight="1">
      <c r="D686" s="108"/>
      <c r="E686" s="197"/>
      <c r="F686" s="197"/>
      <c r="G686" s="198"/>
    </row>
    <row r="687" ht="15.75" customHeight="1">
      <c r="D687" s="108"/>
      <c r="E687" s="197"/>
      <c r="F687" s="197"/>
      <c r="G687" s="198"/>
    </row>
    <row r="688" ht="15.75" customHeight="1">
      <c r="D688" s="108"/>
      <c r="E688" s="197"/>
      <c r="F688" s="197"/>
      <c r="G688" s="198"/>
    </row>
    <row r="689" ht="15.75" customHeight="1">
      <c r="D689" s="108"/>
      <c r="E689" s="197"/>
      <c r="F689" s="197"/>
      <c r="G689" s="198"/>
    </row>
    <row r="690" ht="15.75" customHeight="1">
      <c r="D690" s="108"/>
      <c r="E690" s="197"/>
      <c r="F690" s="197"/>
      <c r="G690" s="198"/>
    </row>
    <row r="691" ht="15.75" customHeight="1">
      <c r="D691" s="108"/>
      <c r="E691" s="197"/>
      <c r="F691" s="197"/>
      <c r="G691" s="198"/>
    </row>
    <row r="692" ht="15.75" customHeight="1">
      <c r="D692" s="108"/>
      <c r="E692" s="197"/>
      <c r="F692" s="197"/>
      <c r="G692" s="198"/>
    </row>
    <row r="693" ht="15.75" customHeight="1">
      <c r="D693" s="108"/>
      <c r="E693" s="197"/>
      <c r="F693" s="197"/>
      <c r="G693" s="198"/>
    </row>
    <row r="694" ht="15.75" customHeight="1">
      <c r="D694" s="108"/>
      <c r="E694" s="197"/>
      <c r="F694" s="197"/>
      <c r="G694" s="198"/>
    </row>
    <row r="695" ht="15.75" customHeight="1">
      <c r="D695" s="108"/>
      <c r="E695" s="197"/>
      <c r="F695" s="197"/>
      <c r="G695" s="198"/>
    </row>
    <row r="696" ht="15.75" customHeight="1">
      <c r="D696" s="108"/>
      <c r="E696" s="197"/>
      <c r="F696" s="197"/>
      <c r="G696" s="198"/>
    </row>
    <row r="697" ht="15.75" customHeight="1">
      <c r="D697" s="108"/>
      <c r="E697" s="197"/>
      <c r="F697" s="197"/>
      <c r="G697" s="198"/>
    </row>
    <row r="698" ht="15.75" customHeight="1">
      <c r="D698" s="108"/>
      <c r="E698" s="197"/>
      <c r="F698" s="197"/>
      <c r="G698" s="198"/>
    </row>
    <row r="699" ht="15.75" customHeight="1">
      <c r="D699" s="108"/>
      <c r="E699" s="197"/>
      <c r="F699" s="197"/>
      <c r="G699" s="198"/>
    </row>
    <row r="700" ht="15.75" customHeight="1">
      <c r="D700" s="108"/>
      <c r="E700" s="197"/>
      <c r="F700" s="197"/>
      <c r="G700" s="198"/>
    </row>
    <row r="701" ht="15.75" customHeight="1">
      <c r="D701" s="108"/>
      <c r="E701" s="197"/>
      <c r="F701" s="197"/>
      <c r="G701" s="198"/>
    </row>
    <row r="702" ht="15.75" customHeight="1">
      <c r="D702" s="108"/>
      <c r="E702" s="197"/>
      <c r="F702" s="197"/>
      <c r="G702" s="198"/>
    </row>
    <row r="703" ht="15.75" customHeight="1">
      <c r="D703" s="108"/>
      <c r="E703" s="197"/>
      <c r="F703" s="197"/>
      <c r="G703" s="198"/>
    </row>
    <row r="704" ht="15.75" customHeight="1">
      <c r="D704" s="108"/>
      <c r="E704" s="197"/>
      <c r="F704" s="197"/>
      <c r="G704" s="198"/>
    </row>
    <row r="705" ht="15.75" customHeight="1">
      <c r="D705" s="108"/>
      <c r="E705" s="197"/>
      <c r="F705" s="197"/>
      <c r="G705" s="198"/>
    </row>
    <row r="706" ht="15.75" customHeight="1">
      <c r="D706" s="108"/>
      <c r="E706" s="197"/>
      <c r="F706" s="197"/>
      <c r="G706" s="198"/>
    </row>
    <row r="707" ht="15.75" customHeight="1">
      <c r="D707" s="108"/>
      <c r="E707" s="197"/>
      <c r="F707" s="197"/>
      <c r="G707" s="198"/>
    </row>
    <row r="708" ht="15.75" customHeight="1">
      <c r="D708" s="108"/>
      <c r="E708" s="197"/>
      <c r="F708" s="197"/>
      <c r="G708" s="198"/>
    </row>
    <row r="709" ht="15.75" customHeight="1">
      <c r="D709" s="108"/>
      <c r="E709" s="197"/>
      <c r="F709" s="197"/>
      <c r="G709" s="198"/>
    </row>
    <row r="710" ht="15.75" customHeight="1">
      <c r="D710" s="108"/>
      <c r="E710" s="197"/>
      <c r="F710" s="197"/>
      <c r="G710" s="198"/>
    </row>
    <row r="711" ht="15.75" customHeight="1">
      <c r="D711" s="108"/>
      <c r="E711" s="197"/>
      <c r="F711" s="197"/>
      <c r="G711" s="198"/>
    </row>
    <row r="712" ht="15.75" customHeight="1">
      <c r="D712" s="108"/>
      <c r="E712" s="197"/>
      <c r="F712" s="197"/>
      <c r="G712" s="198"/>
    </row>
    <row r="713" ht="15.75" customHeight="1">
      <c r="D713" s="108"/>
      <c r="E713" s="197"/>
      <c r="F713" s="197"/>
      <c r="G713" s="198"/>
    </row>
    <row r="714" ht="15.75" customHeight="1">
      <c r="D714" s="108"/>
      <c r="E714" s="197"/>
      <c r="F714" s="197"/>
      <c r="G714" s="198"/>
    </row>
    <row r="715" ht="15.75" customHeight="1">
      <c r="D715" s="108"/>
      <c r="E715" s="197"/>
      <c r="F715" s="197"/>
      <c r="G715" s="198"/>
    </row>
    <row r="716" ht="15.75" customHeight="1">
      <c r="D716" s="108"/>
      <c r="E716" s="197"/>
      <c r="F716" s="197"/>
      <c r="G716" s="198"/>
    </row>
    <row r="717" ht="15.75" customHeight="1">
      <c r="D717" s="108"/>
      <c r="E717" s="197"/>
      <c r="F717" s="197"/>
      <c r="G717" s="198"/>
    </row>
    <row r="718" ht="15.75" customHeight="1">
      <c r="D718" s="108"/>
      <c r="E718" s="197"/>
      <c r="F718" s="197"/>
      <c r="G718" s="198"/>
    </row>
    <row r="719" ht="15.75" customHeight="1">
      <c r="D719" s="108"/>
      <c r="E719" s="197"/>
      <c r="F719" s="197"/>
      <c r="G719" s="198"/>
    </row>
    <row r="720" ht="15.75" customHeight="1">
      <c r="D720" s="108"/>
      <c r="E720" s="197"/>
      <c r="F720" s="197"/>
      <c r="G720" s="198"/>
    </row>
    <row r="721" ht="15.75" customHeight="1">
      <c r="D721" s="108"/>
      <c r="E721" s="197"/>
      <c r="F721" s="197"/>
      <c r="G721" s="198"/>
    </row>
    <row r="722" ht="15.75" customHeight="1">
      <c r="D722" s="108"/>
      <c r="E722" s="197"/>
      <c r="F722" s="197"/>
      <c r="G722" s="198"/>
    </row>
    <row r="723" ht="15.75" customHeight="1">
      <c r="D723" s="108"/>
      <c r="E723" s="197"/>
      <c r="F723" s="197"/>
      <c r="G723" s="198"/>
    </row>
    <row r="724" ht="15.75" customHeight="1">
      <c r="D724" s="108"/>
      <c r="E724" s="197"/>
      <c r="F724" s="197"/>
      <c r="G724" s="198"/>
    </row>
    <row r="725" ht="15.75" customHeight="1">
      <c r="D725" s="108"/>
      <c r="E725" s="197"/>
      <c r="F725" s="197"/>
      <c r="G725" s="198"/>
    </row>
    <row r="726" ht="15.75" customHeight="1">
      <c r="D726" s="108"/>
      <c r="E726" s="197"/>
      <c r="F726" s="197"/>
      <c r="G726" s="198"/>
    </row>
    <row r="727" ht="15.75" customHeight="1">
      <c r="D727" s="108"/>
      <c r="E727" s="197"/>
      <c r="F727" s="197"/>
      <c r="G727" s="198"/>
    </row>
    <row r="728" ht="15.75" customHeight="1">
      <c r="D728" s="108"/>
      <c r="E728" s="197"/>
      <c r="F728" s="197"/>
      <c r="G728" s="198"/>
    </row>
    <row r="729" ht="15.75" customHeight="1">
      <c r="D729" s="108"/>
      <c r="E729" s="197"/>
      <c r="F729" s="197"/>
      <c r="G729" s="198"/>
    </row>
    <row r="730" ht="15.75" customHeight="1">
      <c r="D730" s="108"/>
      <c r="E730" s="197"/>
      <c r="F730" s="197"/>
      <c r="G730" s="198"/>
    </row>
    <row r="731" ht="15.75" customHeight="1">
      <c r="D731" s="108"/>
      <c r="E731" s="197"/>
      <c r="F731" s="197"/>
      <c r="G731" s="198"/>
    </row>
    <row r="732" ht="15.75" customHeight="1">
      <c r="D732" s="108"/>
      <c r="E732" s="197"/>
      <c r="F732" s="197"/>
      <c r="G732" s="198"/>
    </row>
    <row r="733" ht="15.75" customHeight="1">
      <c r="D733" s="108"/>
      <c r="E733" s="197"/>
      <c r="F733" s="197"/>
      <c r="G733" s="198"/>
    </row>
    <row r="734" ht="15.75" customHeight="1">
      <c r="D734" s="108"/>
      <c r="E734" s="197"/>
      <c r="F734" s="197"/>
      <c r="G734" s="198"/>
    </row>
    <row r="735" ht="15.75" customHeight="1">
      <c r="D735" s="108"/>
      <c r="E735" s="197"/>
      <c r="F735" s="197"/>
      <c r="G735" s="198"/>
    </row>
    <row r="736" ht="15.75" customHeight="1">
      <c r="D736" s="108"/>
      <c r="E736" s="197"/>
      <c r="F736" s="197"/>
      <c r="G736" s="198"/>
    </row>
    <row r="737" ht="15.75" customHeight="1">
      <c r="D737" s="108"/>
      <c r="E737" s="197"/>
      <c r="F737" s="197"/>
      <c r="G737" s="198"/>
    </row>
    <row r="738" ht="15.75" customHeight="1">
      <c r="D738" s="108"/>
      <c r="E738" s="197"/>
      <c r="F738" s="197"/>
      <c r="G738" s="198"/>
    </row>
    <row r="739" ht="15.75" customHeight="1">
      <c r="D739" s="108"/>
      <c r="E739" s="197"/>
      <c r="F739" s="197"/>
      <c r="G739" s="198"/>
    </row>
    <row r="740" ht="15.75" customHeight="1">
      <c r="D740" s="108"/>
      <c r="E740" s="197"/>
      <c r="F740" s="197"/>
      <c r="G740" s="198"/>
    </row>
    <row r="741" ht="15.75" customHeight="1">
      <c r="D741" s="108"/>
      <c r="E741" s="197"/>
      <c r="F741" s="197"/>
      <c r="G741" s="198"/>
    </row>
    <row r="742" ht="15.75" customHeight="1">
      <c r="D742" s="108"/>
      <c r="E742" s="197"/>
      <c r="F742" s="197"/>
      <c r="G742" s="198"/>
    </row>
    <row r="743" ht="15.75" customHeight="1">
      <c r="D743" s="108"/>
      <c r="E743" s="197"/>
      <c r="F743" s="197"/>
      <c r="G743" s="198"/>
    </row>
    <row r="744" ht="15.75" customHeight="1">
      <c r="D744" s="108"/>
      <c r="E744" s="197"/>
      <c r="F744" s="197"/>
      <c r="G744" s="198"/>
    </row>
    <row r="745" ht="15.75" customHeight="1">
      <c r="D745" s="108"/>
      <c r="E745" s="197"/>
      <c r="F745" s="197"/>
      <c r="G745" s="198"/>
    </row>
    <row r="746" ht="15.75" customHeight="1">
      <c r="D746" s="108"/>
      <c r="E746" s="197"/>
      <c r="F746" s="197"/>
      <c r="G746" s="198"/>
    </row>
    <row r="747" ht="15.75" customHeight="1">
      <c r="D747" s="108"/>
      <c r="E747" s="197"/>
      <c r="F747" s="197"/>
      <c r="G747" s="198"/>
    </row>
    <row r="748" ht="15.75" customHeight="1">
      <c r="D748" s="108"/>
      <c r="E748" s="197"/>
      <c r="F748" s="197"/>
      <c r="G748" s="198"/>
    </row>
    <row r="749" ht="15.75" customHeight="1">
      <c r="D749" s="108"/>
      <c r="E749" s="197"/>
      <c r="F749" s="197"/>
      <c r="G749" s="198"/>
    </row>
    <row r="750" ht="15.75" customHeight="1">
      <c r="D750" s="108"/>
      <c r="E750" s="197"/>
      <c r="F750" s="197"/>
      <c r="G750" s="198"/>
    </row>
    <row r="751" ht="15.75" customHeight="1">
      <c r="D751" s="108"/>
      <c r="E751" s="197"/>
      <c r="F751" s="197"/>
      <c r="G751" s="198"/>
    </row>
    <row r="752" ht="15.75" customHeight="1">
      <c r="D752" s="108"/>
      <c r="E752" s="197"/>
      <c r="F752" s="197"/>
      <c r="G752" s="198"/>
    </row>
    <row r="753" ht="15.75" customHeight="1">
      <c r="D753" s="108"/>
      <c r="E753" s="197"/>
      <c r="F753" s="197"/>
      <c r="G753" s="198"/>
    </row>
    <row r="754" ht="15.75" customHeight="1">
      <c r="D754" s="108"/>
      <c r="E754" s="197"/>
      <c r="F754" s="197"/>
      <c r="G754" s="198"/>
    </row>
    <row r="755" ht="15.75" customHeight="1">
      <c r="D755" s="108"/>
      <c r="E755" s="197"/>
      <c r="F755" s="197"/>
      <c r="G755" s="198"/>
    </row>
    <row r="756" ht="15.75" customHeight="1">
      <c r="D756" s="108"/>
      <c r="E756" s="197"/>
      <c r="F756" s="197"/>
      <c r="G756" s="198"/>
    </row>
    <row r="757" ht="15.75" customHeight="1">
      <c r="D757" s="108"/>
      <c r="E757" s="197"/>
      <c r="F757" s="197"/>
      <c r="G757" s="198"/>
    </row>
    <row r="758" ht="15.75" customHeight="1">
      <c r="D758" s="108"/>
      <c r="E758" s="197"/>
      <c r="F758" s="197"/>
      <c r="G758" s="198"/>
    </row>
    <row r="759" ht="15.75" customHeight="1">
      <c r="D759" s="108"/>
      <c r="E759" s="197"/>
      <c r="F759" s="197"/>
      <c r="G759" s="198"/>
    </row>
    <row r="760" ht="15.75" customHeight="1">
      <c r="D760" s="108"/>
      <c r="E760" s="197"/>
      <c r="F760" s="197"/>
      <c r="G760" s="198"/>
    </row>
    <row r="761" ht="15.75" customHeight="1">
      <c r="D761" s="108"/>
      <c r="E761" s="197"/>
      <c r="F761" s="197"/>
      <c r="G761" s="198"/>
    </row>
    <row r="762" ht="15.75" customHeight="1">
      <c r="D762" s="108"/>
      <c r="E762" s="197"/>
      <c r="F762" s="197"/>
      <c r="G762" s="198"/>
    </row>
    <row r="763" ht="15.75" customHeight="1">
      <c r="D763" s="108"/>
      <c r="E763" s="197"/>
      <c r="F763" s="197"/>
      <c r="G763" s="198"/>
    </row>
    <row r="764" ht="15.75" customHeight="1">
      <c r="D764" s="108"/>
      <c r="E764" s="197"/>
      <c r="F764" s="197"/>
      <c r="G764" s="198"/>
    </row>
    <row r="765" ht="15.75" customHeight="1">
      <c r="D765" s="108"/>
      <c r="E765" s="197"/>
      <c r="F765" s="197"/>
      <c r="G765" s="198"/>
    </row>
    <row r="766" ht="15.75" customHeight="1">
      <c r="D766" s="108"/>
      <c r="E766" s="197"/>
      <c r="F766" s="197"/>
      <c r="G766" s="198"/>
    </row>
    <row r="767" ht="15.75" customHeight="1">
      <c r="D767" s="108"/>
      <c r="E767" s="197"/>
      <c r="F767" s="197"/>
      <c r="G767" s="198"/>
    </row>
    <row r="768" ht="15.75" customHeight="1">
      <c r="D768" s="108"/>
      <c r="E768" s="197"/>
      <c r="F768" s="197"/>
      <c r="G768" s="198"/>
    </row>
    <row r="769" ht="15.75" customHeight="1">
      <c r="D769" s="108"/>
      <c r="E769" s="197"/>
      <c r="F769" s="197"/>
      <c r="G769" s="198"/>
    </row>
    <row r="770" ht="15.75" customHeight="1">
      <c r="D770" s="108"/>
      <c r="E770" s="197"/>
      <c r="F770" s="197"/>
      <c r="G770" s="198"/>
    </row>
    <row r="771" ht="15.75" customHeight="1">
      <c r="D771" s="108"/>
      <c r="E771" s="197"/>
      <c r="F771" s="197"/>
      <c r="G771" s="198"/>
    </row>
    <row r="772" ht="15.75" customHeight="1">
      <c r="D772" s="108"/>
      <c r="E772" s="197"/>
      <c r="F772" s="197"/>
      <c r="G772" s="198"/>
    </row>
    <row r="773" ht="15.75" customHeight="1">
      <c r="D773" s="108"/>
      <c r="E773" s="197"/>
      <c r="F773" s="197"/>
      <c r="G773" s="198"/>
    </row>
    <row r="774" ht="15.75" customHeight="1">
      <c r="D774" s="108"/>
      <c r="E774" s="197"/>
      <c r="F774" s="197"/>
      <c r="G774" s="198"/>
    </row>
    <row r="775" ht="15.75" customHeight="1">
      <c r="D775" s="108"/>
      <c r="E775" s="197"/>
      <c r="F775" s="197"/>
      <c r="G775" s="198"/>
    </row>
    <row r="776" ht="15.75" customHeight="1">
      <c r="D776" s="108"/>
      <c r="E776" s="197"/>
      <c r="F776" s="197"/>
      <c r="G776" s="198"/>
    </row>
    <row r="777" ht="15.75" customHeight="1">
      <c r="D777" s="108"/>
      <c r="E777" s="197"/>
      <c r="F777" s="197"/>
      <c r="G777" s="198"/>
    </row>
    <row r="778" ht="15.75" customHeight="1">
      <c r="D778" s="108"/>
      <c r="E778" s="197"/>
      <c r="F778" s="197"/>
      <c r="G778" s="198"/>
    </row>
    <row r="779" ht="15.75" customHeight="1">
      <c r="D779" s="108"/>
      <c r="E779" s="197"/>
      <c r="F779" s="197"/>
      <c r="G779" s="198"/>
    </row>
    <row r="780" ht="15.75" customHeight="1">
      <c r="D780" s="108"/>
      <c r="E780" s="197"/>
      <c r="F780" s="197"/>
      <c r="G780" s="198"/>
    </row>
    <row r="781" ht="15.75" customHeight="1">
      <c r="D781" s="108"/>
      <c r="E781" s="197"/>
      <c r="F781" s="197"/>
      <c r="G781" s="198"/>
    </row>
    <row r="782" ht="15.75" customHeight="1">
      <c r="D782" s="108"/>
      <c r="E782" s="197"/>
      <c r="F782" s="197"/>
      <c r="G782" s="198"/>
    </row>
    <row r="783" ht="15.75" customHeight="1">
      <c r="D783" s="108"/>
      <c r="E783" s="197"/>
      <c r="F783" s="197"/>
      <c r="G783" s="198"/>
    </row>
    <row r="784" ht="15.75" customHeight="1">
      <c r="D784" s="108"/>
      <c r="E784" s="197"/>
      <c r="F784" s="197"/>
      <c r="G784" s="198"/>
    </row>
    <row r="785" ht="15.75" customHeight="1">
      <c r="D785" s="108"/>
      <c r="E785" s="197"/>
      <c r="F785" s="197"/>
      <c r="G785" s="198"/>
    </row>
    <row r="786" ht="15.75" customHeight="1">
      <c r="D786" s="108"/>
      <c r="E786" s="197"/>
      <c r="F786" s="197"/>
      <c r="G786" s="198"/>
    </row>
    <row r="787" ht="15.75" customHeight="1">
      <c r="D787" s="108"/>
      <c r="E787" s="197"/>
      <c r="F787" s="197"/>
      <c r="G787" s="198"/>
    </row>
    <row r="788" ht="15.75" customHeight="1">
      <c r="D788" s="108"/>
      <c r="E788" s="197"/>
      <c r="F788" s="197"/>
      <c r="G788" s="198"/>
    </row>
    <row r="789" ht="15.75" customHeight="1">
      <c r="D789" s="108"/>
      <c r="E789" s="197"/>
      <c r="F789" s="197"/>
      <c r="G789" s="198"/>
    </row>
    <row r="790" ht="15.75" customHeight="1">
      <c r="D790" s="108"/>
      <c r="E790" s="197"/>
      <c r="F790" s="197"/>
      <c r="G790" s="198"/>
    </row>
    <row r="791" ht="15.75" customHeight="1">
      <c r="D791" s="108"/>
      <c r="E791" s="197"/>
      <c r="F791" s="197"/>
      <c r="G791" s="198"/>
    </row>
    <row r="792" ht="15.75" customHeight="1">
      <c r="D792" s="108"/>
      <c r="E792" s="197"/>
      <c r="F792" s="197"/>
      <c r="G792" s="198"/>
    </row>
    <row r="793" ht="15.75" customHeight="1">
      <c r="D793" s="108"/>
      <c r="E793" s="197"/>
      <c r="F793" s="197"/>
      <c r="G793" s="198"/>
    </row>
    <row r="794" ht="15.75" customHeight="1">
      <c r="D794" s="108"/>
      <c r="E794" s="197"/>
      <c r="F794" s="197"/>
      <c r="G794" s="198"/>
    </row>
    <row r="795" ht="15.75" customHeight="1">
      <c r="D795" s="108"/>
      <c r="E795" s="197"/>
      <c r="F795" s="197"/>
      <c r="G795" s="198"/>
    </row>
    <row r="796" ht="15.75" customHeight="1">
      <c r="D796" s="108"/>
      <c r="E796" s="197"/>
      <c r="F796" s="197"/>
      <c r="G796" s="198"/>
    </row>
    <row r="797" ht="15.75" customHeight="1">
      <c r="D797" s="108"/>
      <c r="E797" s="197"/>
      <c r="F797" s="197"/>
      <c r="G797" s="198"/>
    </row>
    <row r="798" ht="15.75" customHeight="1">
      <c r="D798" s="108"/>
      <c r="E798" s="197"/>
      <c r="F798" s="197"/>
      <c r="G798" s="198"/>
    </row>
    <row r="799" ht="15.75" customHeight="1">
      <c r="D799" s="108"/>
      <c r="E799" s="197"/>
      <c r="F799" s="197"/>
      <c r="G799" s="198"/>
    </row>
    <row r="800" ht="15.75" customHeight="1">
      <c r="D800" s="108"/>
      <c r="E800" s="197"/>
      <c r="F800" s="197"/>
      <c r="G800" s="198"/>
    </row>
    <row r="801" ht="15.75" customHeight="1">
      <c r="D801" s="108"/>
      <c r="E801" s="197"/>
      <c r="F801" s="197"/>
      <c r="G801" s="198"/>
    </row>
    <row r="802" ht="15.75" customHeight="1">
      <c r="D802" s="108"/>
      <c r="E802" s="197"/>
      <c r="F802" s="197"/>
      <c r="G802" s="198"/>
    </row>
    <row r="803" ht="15.75" customHeight="1">
      <c r="D803" s="108"/>
      <c r="E803" s="197"/>
      <c r="F803" s="197"/>
      <c r="G803" s="198"/>
    </row>
    <row r="804" ht="15.75" customHeight="1">
      <c r="D804" s="108"/>
      <c r="E804" s="197"/>
      <c r="F804" s="197"/>
      <c r="G804" s="198"/>
    </row>
    <row r="805" ht="15.75" customHeight="1">
      <c r="D805" s="108"/>
      <c r="E805" s="197"/>
      <c r="F805" s="197"/>
      <c r="G805" s="198"/>
    </row>
    <row r="806" ht="15.75" customHeight="1">
      <c r="D806" s="108"/>
      <c r="E806" s="197"/>
      <c r="F806" s="197"/>
      <c r="G806" s="198"/>
    </row>
    <row r="807" ht="15.75" customHeight="1">
      <c r="D807" s="108"/>
      <c r="E807" s="197"/>
      <c r="F807" s="197"/>
      <c r="G807" s="198"/>
    </row>
    <row r="808" ht="15.75" customHeight="1">
      <c r="D808" s="108"/>
      <c r="E808" s="197"/>
      <c r="F808" s="197"/>
      <c r="G808" s="198"/>
    </row>
    <row r="809" ht="15.75" customHeight="1">
      <c r="D809" s="108"/>
      <c r="E809" s="197"/>
      <c r="F809" s="197"/>
      <c r="G809" s="198"/>
    </row>
    <row r="810" ht="15.75" customHeight="1">
      <c r="D810" s="108"/>
      <c r="E810" s="197"/>
      <c r="F810" s="197"/>
      <c r="G810" s="198"/>
    </row>
    <row r="811" ht="15.75" customHeight="1">
      <c r="D811" s="108"/>
      <c r="E811" s="197"/>
      <c r="F811" s="197"/>
      <c r="G811" s="198"/>
    </row>
    <row r="812" ht="15.75" customHeight="1">
      <c r="D812" s="108"/>
      <c r="E812" s="197"/>
      <c r="F812" s="197"/>
      <c r="G812" s="198"/>
    </row>
    <row r="813" ht="15.75" customHeight="1">
      <c r="D813" s="108"/>
      <c r="E813" s="197"/>
      <c r="F813" s="197"/>
      <c r="G813" s="198"/>
    </row>
    <row r="814" ht="15.75" customHeight="1">
      <c r="D814" s="108"/>
      <c r="E814" s="197"/>
      <c r="F814" s="197"/>
      <c r="G814" s="198"/>
    </row>
    <row r="815" ht="15.75" customHeight="1">
      <c r="D815" s="108"/>
      <c r="E815" s="197"/>
      <c r="F815" s="197"/>
      <c r="G815" s="198"/>
    </row>
    <row r="816" ht="15.75" customHeight="1">
      <c r="D816" s="108"/>
      <c r="E816" s="197"/>
      <c r="F816" s="197"/>
      <c r="G816" s="198"/>
    </row>
    <row r="817" ht="15.75" customHeight="1">
      <c r="D817" s="108"/>
      <c r="E817" s="197"/>
      <c r="F817" s="197"/>
      <c r="G817" s="198"/>
    </row>
    <row r="818" ht="15.75" customHeight="1">
      <c r="D818" s="108"/>
      <c r="E818" s="197"/>
      <c r="F818" s="197"/>
      <c r="G818" s="198"/>
    </row>
    <row r="819" ht="15.75" customHeight="1">
      <c r="D819" s="108"/>
      <c r="E819" s="197"/>
      <c r="F819" s="197"/>
      <c r="G819" s="198"/>
    </row>
    <row r="820" ht="15.75" customHeight="1">
      <c r="D820" s="108"/>
      <c r="E820" s="197"/>
      <c r="F820" s="197"/>
      <c r="G820" s="198"/>
    </row>
    <row r="821" ht="15.75" customHeight="1">
      <c r="D821" s="108"/>
      <c r="E821" s="197"/>
      <c r="F821" s="197"/>
      <c r="G821" s="198"/>
    </row>
    <row r="822" ht="15.75" customHeight="1">
      <c r="D822" s="108"/>
      <c r="E822" s="197"/>
      <c r="F822" s="197"/>
      <c r="G822" s="198"/>
    </row>
    <row r="823" ht="15.75" customHeight="1">
      <c r="D823" s="108"/>
      <c r="E823" s="197"/>
      <c r="F823" s="197"/>
      <c r="G823" s="198"/>
    </row>
    <row r="824" ht="15.75" customHeight="1">
      <c r="D824" s="108"/>
      <c r="E824" s="197"/>
      <c r="F824" s="197"/>
      <c r="G824" s="198"/>
    </row>
    <row r="825" ht="15.75" customHeight="1">
      <c r="D825" s="108"/>
      <c r="E825" s="197"/>
      <c r="F825" s="197"/>
      <c r="G825" s="198"/>
    </row>
    <row r="826" ht="15.75" customHeight="1">
      <c r="D826" s="108"/>
      <c r="E826" s="197"/>
      <c r="F826" s="197"/>
      <c r="G826" s="198"/>
    </row>
    <row r="827" ht="15.75" customHeight="1">
      <c r="D827" s="108"/>
      <c r="E827" s="197"/>
      <c r="F827" s="197"/>
      <c r="G827" s="198"/>
    </row>
    <row r="828" ht="15.75" customHeight="1">
      <c r="D828" s="108"/>
      <c r="E828" s="197"/>
      <c r="F828" s="197"/>
      <c r="G828" s="198"/>
    </row>
    <row r="829" ht="15.75" customHeight="1">
      <c r="D829" s="108"/>
      <c r="E829" s="197"/>
      <c r="F829" s="197"/>
      <c r="G829" s="198"/>
    </row>
    <row r="830" ht="15.75" customHeight="1">
      <c r="D830" s="108"/>
      <c r="E830" s="197"/>
      <c r="F830" s="197"/>
      <c r="G830" s="198"/>
    </row>
    <row r="831" ht="15.75" customHeight="1">
      <c r="D831" s="108"/>
      <c r="E831" s="197"/>
      <c r="F831" s="197"/>
      <c r="G831" s="198"/>
    </row>
    <row r="832" ht="15.75" customHeight="1">
      <c r="D832" s="108"/>
      <c r="E832" s="197"/>
      <c r="F832" s="197"/>
      <c r="G832" s="198"/>
    </row>
    <row r="833" ht="15.75" customHeight="1">
      <c r="D833" s="108"/>
      <c r="E833" s="197"/>
      <c r="F833" s="197"/>
      <c r="G833" s="198"/>
    </row>
    <row r="834" ht="15.75" customHeight="1">
      <c r="D834" s="108"/>
      <c r="E834" s="197"/>
      <c r="F834" s="197"/>
      <c r="G834" s="198"/>
    </row>
    <row r="835" ht="15.75" customHeight="1">
      <c r="D835" s="108"/>
      <c r="E835" s="197"/>
      <c r="F835" s="197"/>
      <c r="G835" s="198"/>
    </row>
    <row r="836" ht="15.75" customHeight="1">
      <c r="D836" s="108"/>
      <c r="E836" s="197"/>
      <c r="F836" s="197"/>
      <c r="G836" s="198"/>
    </row>
    <row r="837" ht="15.75" customHeight="1">
      <c r="D837" s="108"/>
      <c r="E837" s="197"/>
      <c r="F837" s="197"/>
      <c r="G837" s="198"/>
    </row>
    <row r="838" ht="15.75" customHeight="1">
      <c r="D838" s="108"/>
      <c r="E838" s="197"/>
      <c r="F838" s="197"/>
      <c r="G838" s="198"/>
    </row>
    <row r="839" ht="15.75" customHeight="1">
      <c r="D839" s="108"/>
      <c r="E839" s="197"/>
      <c r="F839" s="197"/>
      <c r="G839" s="198"/>
    </row>
    <row r="840" ht="15.75" customHeight="1">
      <c r="D840" s="108"/>
      <c r="E840" s="197"/>
      <c r="F840" s="197"/>
      <c r="G840" s="198"/>
    </row>
    <row r="841" ht="15.75" customHeight="1">
      <c r="D841" s="108"/>
      <c r="E841" s="197"/>
      <c r="F841" s="197"/>
      <c r="G841" s="198"/>
    </row>
    <row r="842" ht="15.75" customHeight="1">
      <c r="D842" s="108"/>
      <c r="E842" s="197"/>
      <c r="F842" s="197"/>
      <c r="G842" s="198"/>
    </row>
    <row r="843" ht="15.75" customHeight="1">
      <c r="D843" s="108"/>
      <c r="E843" s="197"/>
      <c r="F843" s="197"/>
      <c r="G843" s="198"/>
    </row>
    <row r="844" ht="15.75" customHeight="1">
      <c r="D844" s="108"/>
      <c r="E844" s="197"/>
      <c r="F844" s="197"/>
      <c r="G844" s="198"/>
    </row>
    <row r="845" ht="15.75" customHeight="1">
      <c r="D845" s="108"/>
      <c r="E845" s="197"/>
      <c r="F845" s="197"/>
      <c r="G845" s="198"/>
    </row>
    <row r="846" ht="15.75" customHeight="1">
      <c r="D846" s="108"/>
      <c r="E846" s="197"/>
      <c r="F846" s="197"/>
      <c r="G846" s="198"/>
    </row>
    <row r="847" ht="15.75" customHeight="1">
      <c r="D847" s="108"/>
      <c r="E847" s="197"/>
      <c r="F847" s="197"/>
      <c r="G847" s="198"/>
    </row>
    <row r="848" ht="15.75" customHeight="1">
      <c r="D848" s="108"/>
      <c r="E848" s="197"/>
      <c r="F848" s="197"/>
      <c r="G848" s="198"/>
    </row>
    <row r="849" ht="15.75" customHeight="1">
      <c r="D849" s="108"/>
      <c r="E849" s="197"/>
      <c r="F849" s="197"/>
      <c r="G849" s="198"/>
    </row>
    <row r="850" ht="15.75" customHeight="1">
      <c r="D850" s="108"/>
      <c r="E850" s="197"/>
      <c r="F850" s="197"/>
      <c r="G850" s="198"/>
    </row>
    <row r="851" ht="15.75" customHeight="1">
      <c r="D851" s="108"/>
      <c r="E851" s="197"/>
      <c r="F851" s="197"/>
      <c r="G851" s="198"/>
    </row>
    <row r="852" ht="15.75" customHeight="1">
      <c r="D852" s="108"/>
      <c r="E852" s="197"/>
      <c r="F852" s="197"/>
      <c r="G852" s="198"/>
    </row>
    <row r="853" ht="15.75" customHeight="1">
      <c r="D853" s="108"/>
      <c r="E853" s="197"/>
      <c r="F853" s="197"/>
      <c r="G853" s="198"/>
    </row>
    <row r="854" ht="15.75" customHeight="1">
      <c r="D854" s="108"/>
      <c r="E854" s="197"/>
      <c r="F854" s="197"/>
      <c r="G854" s="198"/>
    </row>
    <row r="855" ht="15.75" customHeight="1">
      <c r="D855" s="108"/>
      <c r="E855" s="197"/>
      <c r="F855" s="197"/>
      <c r="G855" s="198"/>
    </row>
    <row r="856" ht="15.75" customHeight="1">
      <c r="D856" s="108"/>
      <c r="E856" s="197"/>
      <c r="F856" s="197"/>
      <c r="G856" s="198"/>
    </row>
    <row r="857" ht="15.75" customHeight="1">
      <c r="D857" s="108"/>
      <c r="E857" s="197"/>
      <c r="F857" s="197"/>
      <c r="G857" s="198"/>
    </row>
    <row r="858" ht="15.75" customHeight="1">
      <c r="D858" s="108"/>
      <c r="E858" s="197"/>
      <c r="F858" s="197"/>
      <c r="G858" s="198"/>
    </row>
    <row r="859" ht="15.75" customHeight="1">
      <c r="D859" s="108"/>
      <c r="E859" s="197"/>
      <c r="F859" s="197"/>
      <c r="G859" s="198"/>
    </row>
    <row r="860" ht="15.75" customHeight="1">
      <c r="D860" s="108"/>
      <c r="E860" s="197"/>
      <c r="F860" s="197"/>
      <c r="G860" s="198"/>
    </row>
    <row r="861" ht="15.75" customHeight="1">
      <c r="D861" s="108"/>
      <c r="E861" s="197"/>
      <c r="F861" s="197"/>
      <c r="G861" s="198"/>
    </row>
    <row r="862" ht="15.75" customHeight="1">
      <c r="D862" s="108"/>
      <c r="E862" s="197"/>
      <c r="F862" s="197"/>
      <c r="G862" s="198"/>
    </row>
    <row r="863" ht="15.75" customHeight="1">
      <c r="D863" s="108"/>
      <c r="E863" s="197"/>
      <c r="F863" s="197"/>
      <c r="G863" s="198"/>
    </row>
    <row r="864" ht="15.75" customHeight="1">
      <c r="D864" s="108"/>
      <c r="E864" s="197"/>
      <c r="F864" s="197"/>
      <c r="G864" s="198"/>
    </row>
    <row r="865" ht="15.75" customHeight="1">
      <c r="D865" s="108"/>
      <c r="E865" s="197"/>
      <c r="F865" s="197"/>
      <c r="G865" s="198"/>
    </row>
    <row r="866" ht="15.75" customHeight="1">
      <c r="D866" s="108"/>
      <c r="E866" s="197"/>
      <c r="F866" s="197"/>
      <c r="G866" s="198"/>
    </row>
    <row r="867" ht="15.75" customHeight="1">
      <c r="D867" s="108"/>
      <c r="E867" s="197"/>
      <c r="F867" s="197"/>
      <c r="G867" s="198"/>
    </row>
    <row r="868" ht="15.75" customHeight="1">
      <c r="D868" s="108"/>
      <c r="E868" s="197"/>
      <c r="F868" s="197"/>
      <c r="G868" s="198"/>
    </row>
    <row r="869" ht="15.75" customHeight="1">
      <c r="D869" s="108"/>
      <c r="E869" s="197"/>
      <c r="F869" s="197"/>
      <c r="G869" s="198"/>
    </row>
    <row r="870" ht="15.75" customHeight="1">
      <c r="D870" s="108"/>
      <c r="E870" s="197"/>
      <c r="F870" s="197"/>
      <c r="G870" s="198"/>
    </row>
    <row r="871" ht="15.75" customHeight="1">
      <c r="D871" s="108"/>
      <c r="E871" s="197"/>
      <c r="F871" s="197"/>
      <c r="G871" s="198"/>
    </row>
    <row r="872" ht="15.75" customHeight="1">
      <c r="D872" s="108"/>
      <c r="E872" s="197"/>
      <c r="F872" s="197"/>
      <c r="G872" s="198"/>
    </row>
    <row r="873" ht="15.75" customHeight="1">
      <c r="D873" s="108"/>
      <c r="E873" s="197"/>
      <c r="F873" s="197"/>
      <c r="G873" s="198"/>
    </row>
    <row r="874" ht="15.75" customHeight="1">
      <c r="D874" s="108"/>
      <c r="E874" s="197"/>
      <c r="F874" s="197"/>
      <c r="G874" s="198"/>
    </row>
    <row r="875" ht="15.75" customHeight="1">
      <c r="D875" s="108"/>
      <c r="E875" s="197"/>
      <c r="F875" s="197"/>
      <c r="G875" s="198"/>
    </row>
    <row r="876" ht="15.75" customHeight="1">
      <c r="D876" s="108"/>
      <c r="E876" s="197"/>
      <c r="F876" s="197"/>
      <c r="G876" s="198"/>
    </row>
    <row r="877" ht="15.75" customHeight="1">
      <c r="D877" s="108"/>
      <c r="E877" s="197"/>
      <c r="F877" s="197"/>
      <c r="G877" s="198"/>
    </row>
    <row r="878" ht="15.75" customHeight="1">
      <c r="D878" s="108"/>
      <c r="E878" s="197"/>
      <c r="F878" s="197"/>
      <c r="G878" s="198"/>
    </row>
    <row r="879" ht="15.75" customHeight="1">
      <c r="D879" s="108"/>
      <c r="E879" s="197"/>
      <c r="F879" s="197"/>
      <c r="G879" s="198"/>
    </row>
    <row r="880" ht="15.75" customHeight="1">
      <c r="D880" s="108"/>
      <c r="E880" s="197"/>
      <c r="F880" s="197"/>
      <c r="G880" s="198"/>
    </row>
    <row r="881" ht="15.75" customHeight="1">
      <c r="D881" s="108"/>
      <c r="E881" s="197"/>
      <c r="F881" s="197"/>
      <c r="G881" s="198"/>
    </row>
    <row r="882" ht="15.75" customHeight="1">
      <c r="D882" s="108"/>
      <c r="E882" s="197"/>
      <c r="F882" s="197"/>
      <c r="G882" s="198"/>
    </row>
    <row r="883" ht="15.75" customHeight="1">
      <c r="D883" s="108"/>
      <c r="E883" s="197"/>
      <c r="F883" s="197"/>
      <c r="G883" s="198"/>
    </row>
    <row r="884" ht="15.75" customHeight="1">
      <c r="D884" s="108"/>
      <c r="E884" s="197"/>
      <c r="F884" s="197"/>
      <c r="G884" s="198"/>
    </row>
    <row r="885" ht="15.75" customHeight="1">
      <c r="D885" s="108"/>
      <c r="E885" s="197"/>
      <c r="F885" s="197"/>
      <c r="G885" s="198"/>
    </row>
    <row r="886" ht="15.75" customHeight="1">
      <c r="D886" s="108"/>
      <c r="E886" s="197"/>
      <c r="F886" s="197"/>
      <c r="G886" s="198"/>
    </row>
    <row r="887" ht="15.75" customHeight="1">
      <c r="D887" s="108"/>
      <c r="E887" s="197"/>
      <c r="F887" s="197"/>
      <c r="G887" s="198"/>
    </row>
    <row r="888" ht="15.75" customHeight="1">
      <c r="D888" s="108"/>
      <c r="E888" s="197"/>
      <c r="F888" s="197"/>
      <c r="G888" s="198"/>
    </row>
    <row r="889" ht="15.75" customHeight="1">
      <c r="D889" s="108"/>
      <c r="E889" s="197"/>
      <c r="F889" s="197"/>
      <c r="G889" s="198"/>
    </row>
    <row r="890" ht="15.75" customHeight="1">
      <c r="D890" s="108"/>
      <c r="E890" s="197"/>
      <c r="F890" s="197"/>
      <c r="G890" s="198"/>
    </row>
    <row r="891" ht="15.75" customHeight="1">
      <c r="D891" s="108"/>
      <c r="E891" s="197"/>
      <c r="F891" s="197"/>
      <c r="G891" s="198"/>
    </row>
    <row r="892" ht="15.75" customHeight="1">
      <c r="D892" s="108"/>
      <c r="E892" s="197"/>
      <c r="F892" s="197"/>
      <c r="G892" s="198"/>
    </row>
    <row r="893" ht="15.75" customHeight="1">
      <c r="D893" s="108"/>
      <c r="E893" s="197"/>
      <c r="F893" s="197"/>
      <c r="G893" s="198"/>
    </row>
    <row r="894" ht="15.75" customHeight="1">
      <c r="D894" s="108"/>
      <c r="E894" s="197"/>
      <c r="F894" s="197"/>
      <c r="G894" s="198"/>
    </row>
    <row r="895" ht="15.75" customHeight="1">
      <c r="D895" s="108"/>
      <c r="E895" s="197"/>
      <c r="F895" s="197"/>
      <c r="G895" s="198"/>
    </row>
    <row r="896" ht="15.75" customHeight="1">
      <c r="D896" s="108"/>
      <c r="E896" s="197"/>
      <c r="F896" s="197"/>
      <c r="G896" s="198"/>
    </row>
    <row r="897" ht="15.75" customHeight="1">
      <c r="D897" s="108"/>
      <c r="E897" s="197"/>
      <c r="F897" s="197"/>
      <c r="G897" s="198"/>
    </row>
    <row r="898" ht="15.75" customHeight="1">
      <c r="D898" s="108"/>
      <c r="E898" s="197"/>
      <c r="F898" s="197"/>
      <c r="G898" s="198"/>
    </row>
    <row r="899" ht="15.75" customHeight="1">
      <c r="D899" s="108"/>
      <c r="E899" s="197"/>
      <c r="F899" s="197"/>
      <c r="G899" s="198"/>
    </row>
    <row r="900" ht="15.75" customHeight="1">
      <c r="D900" s="108"/>
      <c r="E900" s="197"/>
      <c r="F900" s="197"/>
      <c r="G900" s="198"/>
    </row>
    <row r="901" ht="15.75" customHeight="1">
      <c r="D901" s="108"/>
      <c r="E901" s="197"/>
      <c r="F901" s="197"/>
      <c r="G901" s="198"/>
    </row>
    <row r="902" ht="15.75" customHeight="1">
      <c r="D902" s="108"/>
      <c r="E902" s="197"/>
      <c r="F902" s="197"/>
      <c r="G902" s="198"/>
    </row>
    <row r="903" ht="15.75" customHeight="1">
      <c r="D903" s="108"/>
      <c r="E903" s="197"/>
      <c r="F903" s="197"/>
      <c r="G903" s="198"/>
    </row>
    <row r="904" ht="15.75" customHeight="1">
      <c r="D904" s="108"/>
      <c r="E904" s="197"/>
      <c r="F904" s="197"/>
      <c r="G904" s="198"/>
    </row>
    <row r="905" ht="15.75" customHeight="1">
      <c r="D905" s="108"/>
      <c r="E905" s="197"/>
      <c r="F905" s="197"/>
      <c r="G905" s="198"/>
    </row>
    <row r="906" ht="15.75" customHeight="1">
      <c r="D906" s="108"/>
      <c r="E906" s="197"/>
      <c r="F906" s="197"/>
      <c r="G906" s="198"/>
    </row>
    <row r="907" ht="15.75" customHeight="1">
      <c r="D907" s="108"/>
      <c r="E907" s="197"/>
      <c r="F907" s="197"/>
      <c r="G907" s="198"/>
    </row>
    <row r="908" ht="15.75" customHeight="1">
      <c r="D908" s="108"/>
      <c r="E908" s="197"/>
      <c r="F908" s="197"/>
      <c r="G908" s="198"/>
    </row>
    <row r="909" ht="15.75" customHeight="1">
      <c r="D909" s="108"/>
      <c r="E909" s="197"/>
      <c r="F909" s="197"/>
      <c r="G909" s="198"/>
    </row>
    <row r="910" ht="15.75" customHeight="1">
      <c r="D910" s="108"/>
      <c r="E910" s="197"/>
      <c r="F910" s="197"/>
      <c r="G910" s="198"/>
    </row>
    <row r="911" ht="15.75" customHeight="1">
      <c r="D911" s="108"/>
      <c r="E911" s="197"/>
      <c r="F911" s="197"/>
      <c r="G911" s="198"/>
    </row>
    <row r="912" ht="15.75" customHeight="1">
      <c r="D912" s="108"/>
      <c r="E912" s="197"/>
      <c r="F912" s="197"/>
      <c r="G912" s="198"/>
    </row>
    <row r="913" ht="15.75" customHeight="1">
      <c r="D913" s="108"/>
      <c r="E913" s="197"/>
      <c r="F913" s="197"/>
      <c r="G913" s="198"/>
    </row>
    <row r="914" ht="15.75" customHeight="1">
      <c r="D914" s="108"/>
      <c r="E914" s="197"/>
      <c r="F914" s="197"/>
      <c r="G914" s="198"/>
    </row>
    <row r="915" ht="15.75" customHeight="1">
      <c r="D915" s="108"/>
      <c r="E915" s="197"/>
      <c r="F915" s="197"/>
      <c r="G915" s="198"/>
    </row>
    <row r="916" ht="15.75" customHeight="1">
      <c r="D916" s="108"/>
      <c r="E916" s="197"/>
      <c r="F916" s="197"/>
      <c r="G916" s="198"/>
    </row>
    <row r="917" ht="15.75" customHeight="1">
      <c r="D917" s="108"/>
      <c r="E917" s="197"/>
      <c r="F917" s="197"/>
      <c r="G917" s="198"/>
    </row>
    <row r="918" ht="15.75" customHeight="1">
      <c r="D918" s="108"/>
      <c r="E918" s="197"/>
      <c r="F918" s="197"/>
      <c r="G918" s="198"/>
    </row>
    <row r="919" ht="15.75" customHeight="1">
      <c r="D919" s="108"/>
      <c r="E919" s="197"/>
      <c r="F919" s="197"/>
      <c r="G919" s="198"/>
    </row>
    <row r="920" ht="15.75" customHeight="1">
      <c r="D920" s="108"/>
      <c r="E920" s="197"/>
      <c r="F920" s="197"/>
      <c r="G920" s="198"/>
    </row>
    <row r="921" ht="15.75" customHeight="1">
      <c r="D921" s="108"/>
      <c r="E921" s="197"/>
      <c r="F921" s="197"/>
      <c r="G921" s="198"/>
    </row>
    <row r="922" ht="15.75" customHeight="1">
      <c r="D922" s="108"/>
      <c r="E922" s="197"/>
      <c r="F922" s="197"/>
      <c r="G922" s="198"/>
    </row>
    <row r="923" ht="15.75" customHeight="1">
      <c r="D923" s="108"/>
      <c r="E923" s="197"/>
      <c r="F923" s="197"/>
      <c r="G923" s="198"/>
    </row>
    <row r="924" ht="15.75" customHeight="1">
      <c r="D924" s="108"/>
      <c r="E924" s="197"/>
      <c r="F924" s="197"/>
      <c r="G924" s="198"/>
    </row>
    <row r="925" ht="15.75" customHeight="1">
      <c r="D925" s="108"/>
      <c r="E925" s="197"/>
      <c r="F925" s="197"/>
      <c r="G925" s="198"/>
    </row>
    <row r="926" ht="15.75" customHeight="1">
      <c r="D926" s="108"/>
      <c r="E926" s="197"/>
      <c r="F926" s="197"/>
      <c r="G926" s="198"/>
    </row>
    <row r="927" ht="15.75" customHeight="1">
      <c r="D927" s="108"/>
      <c r="E927" s="197"/>
      <c r="F927" s="197"/>
      <c r="G927" s="198"/>
    </row>
    <row r="928" ht="15.75" customHeight="1">
      <c r="D928" s="108"/>
      <c r="E928" s="197"/>
      <c r="F928" s="197"/>
      <c r="G928" s="198"/>
    </row>
    <row r="929" ht="15.75" customHeight="1">
      <c r="D929" s="108"/>
      <c r="E929" s="197"/>
      <c r="F929" s="197"/>
      <c r="G929" s="198"/>
    </row>
    <row r="930" ht="15.75" customHeight="1">
      <c r="D930" s="108"/>
      <c r="E930" s="197"/>
      <c r="F930" s="197"/>
      <c r="G930" s="198"/>
    </row>
    <row r="931" ht="15.75" customHeight="1">
      <c r="D931" s="108"/>
      <c r="E931" s="197"/>
      <c r="F931" s="197"/>
      <c r="G931" s="198"/>
    </row>
    <row r="932" ht="15.75" customHeight="1">
      <c r="D932" s="108"/>
      <c r="E932" s="197"/>
      <c r="F932" s="197"/>
      <c r="G932" s="198"/>
    </row>
    <row r="933" ht="15.75" customHeight="1">
      <c r="D933" s="108"/>
      <c r="E933" s="197"/>
      <c r="F933" s="197"/>
      <c r="G933" s="198"/>
    </row>
    <row r="934" ht="15.75" customHeight="1">
      <c r="D934" s="108"/>
      <c r="E934" s="197"/>
      <c r="F934" s="197"/>
      <c r="G934" s="198"/>
    </row>
    <row r="935" ht="15.75" customHeight="1">
      <c r="D935" s="108"/>
      <c r="E935" s="197"/>
      <c r="F935" s="197"/>
      <c r="G935" s="198"/>
    </row>
    <row r="936" ht="15.75" customHeight="1">
      <c r="D936" s="108"/>
      <c r="E936" s="197"/>
      <c r="F936" s="197"/>
      <c r="G936" s="198"/>
    </row>
    <row r="937" ht="15.75" customHeight="1">
      <c r="D937" s="108"/>
      <c r="E937" s="197"/>
      <c r="F937" s="197"/>
      <c r="G937" s="198"/>
    </row>
    <row r="938" ht="15.75" customHeight="1">
      <c r="D938" s="108"/>
      <c r="E938" s="197"/>
      <c r="F938" s="197"/>
      <c r="G938" s="198"/>
    </row>
    <row r="939" ht="15.75" customHeight="1">
      <c r="D939" s="108"/>
      <c r="E939" s="197"/>
      <c r="F939" s="197"/>
      <c r="G939" s="198"/>
    </row>
    <row r="940" ht="15.75" customHeight="1">
      <c r="D940" s="108"/>
      <c r="E940" s="197"/>
      <c r="F940" s="197"/>
      <c r="G940" s="198"/>
    </row>
    <row r="941" ht="15.75" customHeight="1">
      <c r="D941" s="108"/>
      <c r="E941" s="197"/>
      <c r="F941" s="197"/>
      <c r="G941" s="198"/>
    </row>
    <row r="942" ht="15.75" customHeight="1">
      <c r="D942" s="108"/>
      <c r="E942" s="197"/>
      <c r="F942" s="197"/>
      <c r="G942" s="198"/>
    </row>
    <row r="943" ht="15.75" customHeight="1">
      <c r="D943" s="108"/>
      <c r="E943" s="197"/>
      <c r="F943" s="197"/>
      <c r="G943" s="198"/>
    </row>
    <row r="944" ht="15.75" customHeight="1">
      <c r="D944" s="108"/>
      <c r="E944" s="197"/>
      <c r="F944" s="197"/>
      <c r="G944" s="198"/>
    </row>
    <row r="945" ht="15.75" customHeight="1">
      <c r="D945" s="108"/>
      <c r="E945" s="197"/>
      <c r="F945" s="197"/>
      <c r="G945" s="198"/>
    </row>
    <row r="946" ht="15.75" customHeight="1">
      <c r="D946" s="108"/>
      <c r="E946" s="197"/>
      <c r="F946" s="197"/>
      <c r="G946" s="198"/>
    </row>
    <row r="947" ht="15.75" customHeight="1">
      <c r="D947" s="108"/>
      <c r="E947" s="197"/>
      <c r="F947" s="197"/>
      <c r="G947" s="198"/>
    </row>
    <row r="948" ht="15.75" customHeight="1">
      <c r="D948" s="108"/>
      <c r="E948" s="197"/>
      <c r="F948" s="197"/>
      <c r="G948" s="198"/>
    </row>
    <row r="949" ht="15.75" customHeight="1">
      <c r="D949" s="108"/>
      <c r="E949" s="197"/>
      <c r="F949" s="197"/>
      <c r="G949" s="198"/>
    </row>
    <row r="950" ht="15.75" customHeight="1">
      <c r="D950" s="108"/>
      <c r="E950" s="197"/>
      <c r="F950" s="197"/>
      <c r="G950" s="198"/>
    </row>
    <row r="951" ht="15.75" customHeight="1">
      <c r="D951" s="108"/>
      <c r="E951" s="197"/>
      <c r="F951" s="197"/>
      <c r="G951" s="198"/>
    </row>
    <row r="952" ht="15.75" customHeight="1">
      <c r="D952" s="108"/>
      <c r="E952" s="197"/>
      <c r="F952" s="197"/>
      <c r="G952" s="198"/>
    </row>
    <row r="953" ht="15.75" customHeight="1">
      <c r="D953" s="108"/>
      <c r="E953" s="197"/>
      <c r="F953" s="197"/>
      <c r="G953" s="198"/>
    </row>
    <row r="954" ht="15.75" customHeight="1">
      <c r="D954" s="108"/>
      <c r="E954" s="197"/>
      <c r="F954" s="197"/>
      <c r="G954" s="198"/>
    </row>
    <row r="955" ht="15.75" customHeight="1">
      <c r="D955" s="108"/>
      <c r="E955" s="197"/>
      <c r="F955" s="197"/>
      <c r="G955" s="198"/>
    </row>
    <row r="956" ht="15.75" customHeight="1">
      <c r="D956" s="108"/>
      <c r="E956" s="197"/>
      <c r="F956" s="197"/>
      <c r="G956" s="198"/>
    </row>
    <row r="957" ht="15.75" customHeight="1">
      <c r="D957" s="108"/>
      <c r="E957" s="197"/>
      <c r="F957" s="197"/>
      <c r="G957" s="198"/>
    </row>
    <row r="958" ht="15.75" customHeight="1">
      <c r="D958" s="108"/>
      <c r="E958" s="197"/>
      <c r="F958" s="197"/>
      <c r="G958" s="198"/>
    </row>
    <row r="959" ht="15.75" customHeight="1">
      <c r="D959" s="108"/>
      <c r="E959" s="197"/>
      <c r="F959" s="197"/>
      <c r="G959" s="198"/>
    </row>
    <row r="960" ht="15.75" customHeight="1">
      <c r="D960" s="108"/>
      <c r="E960" s="197"/>
      <c r="F960" s="197"/>
      <c r="G960" s="198"/>
    </row>
    <row r="961" ht="15.75" customHeight="1">
      <c r="D961" s="108"/>
      <c r="E961" s="197"/>
      <c r="F961" s="197"/>
      <c r="G961" s="198"/>
    </row>
    <row r="962" ht="15.75" customHeight="1">
      <c r="D962" s="108"/>
      <c r="E962" s="197"/>
      <c r="F962" s="197"/>
      <c r="G962" s="198"/>
    </row>
    <row r="963" ht="15.75" customHeight="1">
      <c r="D963" s="108"/>
      <c r="E963" s="197"/>
      <c r="F963" s="197"/>
      <c r="G963" s="198"/>
    </row>
    <row r="964" ht="15.75" customHeight="1">
      <c r="D964" s="108"/>
      <c r="E964" s="197"/>
      <c r="F964" s="197"/>
      <c r="G964" s="198"/>
    </row>
    <row r="965" ht="15.75" customHeight="1">
      <c r="D965" s="108"/>
      <c r="E965" s="197"/>
      <c r="F965" s="197"/>
      <c r="G965" s="198"/>
    </row>
    <row r="966" ht="15.75" customHeight="1">
      <c r="D966" s="108"/>
      <c r="E966" s="197"/>
      <c r="F966" s="197"/>
      <c r="G966" s="198"/>
    </row>
    <row r="967" ht="15.75" customHeight="1">
      <c r="D967" s="108"/>
      <c r="E967" s="197"/>
      <c r="F967" s="197"/>
      <c r="G967" s="198"/>
    </row>
    <row r="968" ht="15.75" customHeight="1">
      <c r="D968" s="108"/>
      <c r="E968" s="197"/>
      <c r="F968" s="197"/>
      <c r="G968" s="198"/>
    </row>
    <row r="969" ht="15.75" customHeight="1">
      <c r="D969" s="108"/>
      <c r="E969" s="197"/>
      <c r="F969" s="197"/>
      <c r="G969" s="198"/>
    </row>
    <row r="970" ht="15.75" customHeight="1">
      <c r="D970" s="108"/>
      <c r="E970" s="197"/>
      <c r="F970" s="197"/>
      <c r="G970" s="198"/>
    </row>
    <row r="971" ht="15.75" customHeight="1">
      <c r="D971" s="108"/>
      <c r="E971" s="197"/>
      <c r="F971" s="197"/>
      <c r="G971" s="198"/>
    </row>
    <row r="972" ht="15.75" customHeight="1">
      <c r="D972" s="108"/>
      <c r="E972" s="197"/>
      <c r="F972" s="197"/>
      <c r="G972" s="198"/>
    </row>
    <row r="973" ht="15.75" customHeight="1">
      <c r="D973" s="108"/>
      <c r="E973" s="197"/>
      <c r="F973" s="197"/>
      <c r="G973" s="198"/>
    </row>
    <row r="974" ht="15.75" customHeight="1">
      <c r="D974" s="108"/>
      <c r="E974" s="197"/>
      <c r="F974" s="197"/>
      <c r="G974" s="198"/>
    </row>
    <row r="975" ht="15.75" customHeight="1">
      <c r="D975" s="108"/>
      <c r="E975" s="197"/>
      <c r="F975" s="197"/>
      <c r="G975" s="198"/>
    </row>
    <row r="976" ht="15.75" customHeight="1">
      <c r="D976" s="108"/>
      <c r="E976" s="197"/>
      <c r="F976" s="197"/>
      <c r="G976" s="198"/>
    </row>
    <row r="977" ht="15.75" customHeight="1">
      <c r="D977" s="108"/>
      <c r="E977" s="197"/>
      <c r="F977" s="197"/>
      <c r="G977" s="198"/>
    </row>
    <row r="978" ht="15.75" customHeight="1">
      <c r="D978" s="108"/>
      <c r="E978" s="197"/>
      <c r="F978" s="197"/>
      <c r="G978" s="198"/>
    </row>
    <row r="979" ht="15.75" customHeight="1">
      <c r="D979" s="108"/>
      <c r="E979" s="197"/>
      <c r="F979" s="197"/>
      <c r="G979" s="198"/>
    </row>
    <row r="980" ht="15.75" customHeight="1">
      <c r="D980" s="108"/>
      <c r="E980" s="197"/>
      <c r="F980" s="197"/>
      <c r="G980" s="198"/>
    </row>
    <row r="981" ht="15.75" customHeight="1">
      <c r="D981" s="108"/>
      <c r="E981" s="197"/>
      <c r="F981" s="197"/>
      <c r="G981" s="198"/>
    </row>
    <row r="982" ht="15.75" customHeight="1">
      <c r="D982" s="108"/>
      <c r="E982" s="197"/>
      <c r="F982" s="197"/>
      <c r="G982" s="198"/>
    </row>
    <row r="983" ht="15.75" customHeight="1">
      <c r="D983" s="108"/>
      <c r="E983" s="197"/>
      <c r="F983" s="197"/>
      <c r="G983" s="198"/>
    </row>
    <row r="984" ht="15.75" customHeight="1">
      <c r="D984" s="108"/>
      <c r="E984" s="197"/>
      <c r="F984" s="197"/>
      <c r="G984" s="198"/>
    </row>
    <row r="985" ht="15.75" customHeight="1">
      <c r="D985" s="108"/>
      <c r="E985" s="197"/>
      <c r="F985" s="197"/>
      <c r="G985" s="198"/>
    </row>
    <row r="986" ht="15.75" customHeight="1">
      <c r="D986" s="108"/>
      <c r="E986" s="197"/>
      <c r="F986" s="197"/>
      <c r="G986" s="198"/>
    </row>
    <row r="987" ht="15.75" customHeight="1">
      <c r="D987" s="108"/>
      <c r="E987" s="197"/>
      <c r="F987" s="197"/>
      <c r="G987" s="198"/>
    </row>
    <row r="988" ht="15.75" customHeight="1">
      <c r="D988" s="108"/>
      <c r="E988" s="197"/>
      <c r="F988" s="197"/>
      <c r="G988" s="198"/>
    </row>
    <row r="989" ht="15.75" customHeight="1">
      <c r="D989" s="108"/>
      <c r="E989" s="197"/>
      <c r="F989" s="197"/>
      <c r="G989" s="198"/>
    </row>
    <row r="990" ht="15.75" customHeight="1">
      <c r="D990" s="108"/>
      <c r="E990" s="197"/>
      <c r="F990" s="197"/>
      <c r="G990" s="198"/>
    </row>
    <row r="991" ht="15.75" customHeight="1">
      <c r="D991" s="108"/>
      <c r="E991" s="197"/>
      <c r="F991" s="197"/>
      <c r="G991" s="198"/>
    </row>
    <row r="992" ht="15.75" customHeight="1">
      <c r="D992" s="108"/>
      <c r="E992" s="197"/>
      <c r="F992" s="197"/>
      <c r="G992" s="198"/>
    </row>
    <row r="993" ht="15.75" customHeight="1">
      <c r="D993" s="108"/>
      <c r="E993" s="197"/>
      <c r="F993" s="197"/>
      <c r="G993" s="198"/>
    </row>
    <row r="994" ht="15.75" customHeight="1">
      <c r="D994" s="108"/>
      <c r="E994" s="197"/>
      <c r="F994" s="197"/>
      <c r="G994" s="198"/>
    </row>
    <row r="995" ht="15.75" customHeight="1">
      <c r="D995" s="108"/>
      <c r="E995" s="197"/>
      <c r="F995" s="197"/>
      <c r="G995" s="198"/>
    </row>
    <row r="996" ht="15.75" customHeight="1">
      <c r="D996" s="108"/>
      <c r="E996" s="197"/>
      <c r="F996" s="197"/>
      <c r="G996" s="198"/>
    </row>
    <row r="997" ht="15.75" customHeight="1">
      <c r="D997" s="108"/>
      <c r="E997" s="197"/>
      <c r="F997" s="197"/>
      <c r="G997" s="198"/>
    </row>
    <row r="998" ht="15.75" customHeight="1">
      <c r="D998" s="108"/>
      <c r="E998" s="197"/>
      <c r="F998" s="197"/>
      <c r="G998" s="198"/>
    </row>
    <row r="999" ht="15.75" customHeight="1">
      <c r="D999" s="108"/>
      <c r="E999" s="197"/>
      <c r="F999" s="197"/>
      <c r="G999" s="198"/>
    </row>
    <row r="1000" ht="15.75" customHeight="1">
      <c r="D1000" s="108"/>
      <c r="E1000" s="197"/>
      <c r="F1000" s="197"/>
      <c r="G1000" s="19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